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austubh\Desktop\Base_Organized\Productivity Improvement\"/>
    </mc:Choice>
  </mc:AlternateContent>
  <xr:revisionPtr revIDLastSave="0" documentId="13_ncr:1_{5547D2BA-D15A-4AD5-B597-02B80B9EC155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XD List" sheetId="6" r:id="rId1"/>
    <sheet name="Layout to Station Type" sheetId="4" r:id="rId2"/>
    <sheet name="Volumetric %" sheetId="5" r:id="rId3"/>
    <sheet name="Layout Productivity" sheetId="1" r:id="rId4"/>
    <sheet name="Activity Productivity" sheetId="2" r:id="rId5"/>
  </sheets>
  <definedNames>
    <definedName name="_xlnm._FilterDatabase" localSheetId="1" hidden="1">'Layout to Station Type'!$B$2:$D$453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AA2" i="1" s="1"/>
  <c r="D14" i="2"/>
  <c r="O2" i="1" s="1"/>
  <c r="D15" i="2"/>
  <c r="P2" i="1" s="1"/>
  <c r="D16" i="2"/>
  <c r="Q2" i="1" s="1"/>
  <c r="D17" i="2"/>
  <c r="G17" i="2" s="1"/>
  <c r="D18" i="2"/>
  <c r="G18" i="2" s="1"/>
  <c r="D19" i="2"/>
  <c r="G19" i="2" s="1"/>
  <c r="D20" i="2"/>
  <c r="U2" i="1" s="1"/>
  <c r="D21" i="2"/>
  <c r="V2" i="1" s="1"/>
  <c r="D22" i="2"/>
  <c r="D23" i="2"/>
  <c r="X2" i="1" s="1"/>
  <c r="D24" i="2"/>
  <c r="Y2" i="1" s="1"/>
  <c r="D25" i="2"/>
  <c r="D26" i="2"/>
  <c r="D27" i="2"/>
  <c r="D28" i="2"/>
  <c r="D29" i="2"/>
  <c r="AB2" i="1" s="1"/>
  <c r="D30" i="2"/>
  <c r="AC2" i="1" s="1"/>
  <c r="D31" i="2"/>
  <c r="D2" i="2"/>
  <c r="G31" i="2"/>
  <c r="N2" i="1"/>
  <c r="L2" i="1"/>
  <c r="G14" i="2"/>
  <c r="G11" i="2"/>
  <c r="J2" i="1"/>
  <c r="G9" i="2"/>
  <c r="G6" i="2"/>
  <c r="G5" i="2"/>
  <c r="G2" i="2"/>
  <c r="G23" i="2"/>
  <c r="W2" i="1"/>
  <c r="M2" i="1"/>
  <c r="K2" i="1"/>
  <c r="G3" i="2"/>
  <c r="G4" i="2"/>
  <c r="G7" i="2"/>
  <c r="G8" i="2"/>
  <c r="G25" i="2"/>
  <c r="G26" i="2"/>
  <c r="G27" i="2"/>
  <c r="G28" i="2"/>
  <c r="G29" i="2"/>
  <c r="G30" i="2"/>
  <c r="Z2" i="1"/>
  <c r="H2" i="1"/>
  <c r="G2" i="1"/>
  <c r="F2" i="1"/>
  <c r="E2" i="1"/>
  <c r="D2" i="1"/>
  <c r="C2" i="1"/>
  <c r="G24" i="2" l="1"/>
  <c r="T2" i="1"/>
  <c r="G13" i="2"/>
  <c r="AD2" i="1"/>
  <c r="I2" i="1"/>
  <c r="G10" i="2"/>
  <c r="G16" i="2"/>
  <c r="G15" i="2"/>
  <c r="G12" i="2"/>
  <c r="S2" i="1"/>
  <c r="G21" i="2"/>
  <c r="R2" i="1"/>
  <c r="G20" i="2"/>
  <c r="G22" i="2"/>
  <c r="B2" i="1"/>
  <c r="AE24" i="1" l="1"/>
  <c r="AE23" i="1"/>
  <c r="AE10" i="1"/>
  <c r="AE11" i="1"/>
  <c r="AE12" i="1"/>
  <c r="AE7" i="1"/>
  <c r="AE8" i="1"/>
  <c r="AE5" i="1"/>
  <c r="AE14" i="1"/>
  <c r="AE9" i="1"/>
  <c r="AE13" i="1"/>
  <c r="AE15" i="1"/>
  <c r="AE3" i="1"/>
  <c r="AE6" i="1"/>
  <c r="AE4" i="1"/>
  <c r="AE20" i="1"/>
  <c r="AE16" i="1"/>
  <c r="AE22" i="1"/>
  <c r="AE19" i="1"/>
  <c r="AE18" i="1"/>
  <c r="AE17" i="1"/>
  <c r="AE21" i="1"/>
</calcChain>
</file>

<file path=xl/sharedStrings.xml><?xml version="1.0" encoding="utf-8"?>
<sst xmlns="http://schemas.openxmlformats.org/spreadsheetml/2006/main" count="1612" uniqueCount="561">
  <si>
    <t>Layout Type</t>
  </si>
  <si>
    <t>IB</t>
  </si>
  <si>
    <t>OB</t>
  </si>
  <si>
    <t>Bag Staging</t>
  </si>
  <si>
    <t>OSC Bag Sorting</t>
  </si>
  <si>
    <t>VIA Bag Sorting</t>
  </si>
  <si>
    <t>Bag Sorter Design</t>
  </si>
  <si>
    <t>FWD FSM</t>
  </si>
  <si>
    <t>FWD Manual Pre Primary</t>
  </si>
  <si>
    <t>FWD Manual Primary</t>
  </si>
  <si>
    <t>FWD Primary with Scan</t>
  </si>
  <si>
    <t>FWD Secondary</t>
  </si>
  <si>
    <t>FWD Volumetric</t>
  </si>
  <si>
    <t>BBB</t>
  </si>
  <si>
    <t>REV FSM</t>
  </si>
  <si>
    <t>Rev Primary (FSM Rejections)</t>
  </si>
  <si>
    <t>Rev DC DC Primary Sorting</t>
  </si>
  <si>
    <t>Rev Secondary Sorting</t>
  </si>
  <si>
    <t>Bulk Feed</t>
  </si>
  <si>
    <t>Sorter Feedline</t>
  </si>
  <si>
    <t>DB Chute</t>
  </si>
  <si>
    <t>Runsheet Creation</t>
  </si>
  <si>
    <t>Rejection Primary with Scan</t>
  </si>
  <si>
    <t>Rejection Secondary</t>
  </si>
  <si>
    <t>Relative Effort →</t>
  </si>
  <si>
    <t>Forward Regular OSC</t>
  </si>
  <si>
    <t>FWD Priority OSC</t>
  </si>
  <si>
    <t>DSC Manual</t>
  </si>
  <si>
    <t>Rev OSC</t>
  </si>
  <si>
    <t>DCFMRTS</t>
  </si>
  <si>
    <t>Volumetric</t>
  </si>
  <si>
    <t>Prime at Shadowfax</t>
  </si>
  <si>
    <t>Via Dock</t>
  </si>
  <si>
    <t>Sorter Forward OSC Semi</t>
  </si>
  <si>
    <t>Via Dock + Bag Sorter</t>
  </si>
  <si>
    <t>Activity</t>
  </si>
  <si>
    <t>Ops Type</t>
  </si>
  <si>
    <t>Relative Effort per Shipment</t>
  </si>
  <si>
    <t>Dock</t>
  </si>
  <si>
    <t>Processing</t>
  </si>
  <si>
    <t>FMRTS Primary with Scan</t>
  </si>
  <si>
    <t>FMRTS Secondary with Scan</t>
  </si>
  <si>
    <t>Manhours per activity</t>
  </si>
  <si>
    <t>IB Volumetric</t>
  </si>
  <si>
    <t>OSC Bag Sorting Volumetric</t>
  </si>
  <si>
    <t>Bag Staging Volumetric</t>
  </si>
  <si>
    <t>OB Volumetric</t>
  </si>
  <si>
    <t>Total Manhours Effort
(per shipment)</t>
  </si>
  <si>
    <t>Forward</t>
  </si>
  <si>
    <t>Reverse</t>
  </si>
  <si>
    <t>DCDC</t>
  </si>
  <si>
    <t>Prime at Client side</t>
  </si>
  <si>
    <t>Forward OSC Sorter Automatic</t>
  </si>
  <si>
    <t>Forward OSC Sorter DB Chutes + Bag Sorter</t>
  </si>
  <si>
    <t>Rev DSC</t>
  </si>
  <si>
    <t>REV DSC</t>
  </si>
  <si>
    <t>Sorter Reverse OSC Semi</t>
  </si>
  <si>
    <t>Forward OSC Sorter Semi + Bag Sorter</t>
  </si>
  <si>
    <t>Forward manual + Bag Sorter</t>
  </si>
  <si>
    <t>layout_name</t>
  </si>
  <si>
    <t>AMD-FWDPRI-SSC</t>
  </si>
  <si>
    <t>AMD-FWDREG-SSC</t>
  </si>
  <si>
    <t>AMD-INTRA-SSC</t>
  </si>
  <si>
    <t>AMD-RTS-RCLS-1302-SSC</t>
  </si>
  <si>
    <t>AMD-EXPR</t>
  </si>
  <si>
    <t>AMD-FK-SSC</t>
  </si>
  <si>
    <t>AMD-AIR-NEW-SSC</t>
  </si>
  <si>
    <t>AMD-RTS-RCLS-1302-SSC_1</t>
  </si>
  <si>
    <t>AMD-RTS-RCLS-1302-SSC_2</t>
  </si>
  <si>
    <t>BLR-AIR-SSC</t>
  </si>
  <si>
    <t>BLR-EXPR</t>
  </si>
  <si>
    <t>BLR-EXPR_1</t>
  </si>
  <si>
    <t>BLR-FWDPRI-SSC</t>
  </si>
  <si>
    <t>BLR-FWDREG-SSC</t>
  </si>
  <si>
    <t>BLR-INTRA-PRIME-SSC</t>
  </si>
  <si>
    <t>BLR-INTRA-PRIME-SSC_1</t>
  </si>
  <si>
    <t>BLR-RTS-RCLS-1302-SSC</t>
  </si>
  <si>
    <t>BLR-AIR-PPRIME-SSC-15</t>
  </si>
  <si>
    <t>BLR-FWDPRI-SSC_1</t>
  </si>
  <si>
    <t>BLR-CCJ-DSC-SSC</t>
  </si>
  <si>
    <t>BLR-RTS-RCLS-1302-SSC_1</t>
  </si>
  <si>
    <t>BLR-CCJ-DSC-SSC_1</t>
  </si>
  <si>
    <t>BLR-CCJ-DSC-SSC_2</t>
  </si>
  <si>
    <t>BLR-RDCDC-1203-SSC</t>
  </si>
  <si>
    <t>BLR-RDCDC-1203-SSC_1</t>
  </si>
  <si>
    <t>BLR-RTS-RCLS-1302-SSC_2</t>
  </si>
  <si>
    <t>BLR-RTS-RCLS-1302-SSC_4</t>
  </si>
  <si>
    <t>BLR-FKA-PRIME-SSC</t>
  </si>
  <si>
    <t>BLR-FKMAL-PRIME-SSC</t>
  </si>
  <si>
    <t>BLR-FKMAL-PRIME-SSC_1</t>
  </si>
  <si>
    <t>BLR-IPC-JIG-PRIME-SSC_1</t>
  </si>
  <si>
    <t>BLR-MYB1-PRIME-SSC</t>
  </si>
  <si>
    <t>BLR-MYB2-PRIME-SSC</t>
  </si>
  <si>
    <t>BLR-IPC-NEL-PRIME-SSC</t>
  </si>
  <si>
    <t>BLR-RDCDC-1203-SSC_2</t>
  </si>
  <si>
    <t>BLR-INTRA-PRIME-SSC_2</t>
  </si>
  <si>
    <t>BLR-CCJ-DSC-SSC_3</t>
  </si>
  <si>
    <t>BLR-INTRA-PRIME-SSC_3</t>
  </si>
  <si>
    <t>BLR-RTS-RCLS-1302-SSC_5</t>
  </si>
  <si>
    <t>BLR-C2-R-1203-SSC</t>
  </si>
  <si>
    <t>BHO-DSC-SSC_1</t>
  </si>
  <si>
    <t>BHO-DSC-SSC_2</t>
  </si>
  <si>
    <t>BHO-DSC-SSC_3</t>
  </si>
  <si>
    <t>BHO-DSC-SSC</t>
  </si>
  <si>
    <t>BHO-EXPR</t>
  </si>
  <si>
    <t>BBI-EXPR</t>
  </si>
  <si>
    <t>BBI-Intra-SSC</t>
  </si>
  <si>
    <t>BBI-Intra-SSC_1</t>
  </si>
  <si>
    <t>DC-34-1</t>
  </si>
  <si>
    <t>BBI-EXPR_1</t>
  </si>
  <si>
    <t>BBI-PUR-SDD-SSC</t>
  </si>
  <si>
    <t>BBI-FKB-SDD-SSC</t>
  </si>
  <si>
    <t>BBI-FKB-SDD-SSC_1</t>
  </si>
  <si>
    <t>BBI-EXPR_2</t>
  </si>
  <si>
    <t>CDL-FWD-SSC</t>
  </si>
  <si>
    <t>CDL-PRIME-NDD-SSC</t>
  </si>
  <si>
    <t>CDL-FWD-SSC_1</t>
  </si>
  <si>
    <t>CDL-KRV-DSC-SSC</t>
  </si>
  <si>
    <t>CDL-PRIME-NDD-SSC_4</t>
  </si>
  <si>
    <t>CDL-PRIME-NDD-SSC_1</t>
  </si>
  <si>
    <t>CHN-DSC-SSC</t>
  </si>
  <si>
    <t>CHN-DSC-SSC_1</t>
  </si>
  <si>
    <t>CHN-DSC-SSC_2</t>
  </si>
  <si>
    <t>CHN-DSC-SSC_3</t>
  </si>
  <si>
    <t>CHN-INTRA-SSC</t>
  </si>
  <si>
    <t>CHN-FK-SDD-SSC</t>
  </si>
  <si>
    <t>CHN-EXPR</t>
  </si>
  <si>
    <t>CJB-DSC-SSC</t>
  </si>
  <si>
    <t>CJB-DSC-SSC_1</t>
  </si>
  <si>
    <t>CJB-DSC-SSC_3</t>
  </si>
  <si>
    <t>CJB-FKC-SDD-SSC</t>
  </si>
  <si>
    <t>CJB-DSC-SSC_2</t>
  </si>
  <si>
    <t>CJB-CCJ-DSC-SSC</t>
  </si>
  <si>
    <t>CJB-CCJ-DSC-SSC_1</t>
  </si>
  <si>
    <t>CJB-CCJ-DSC-SSC_2</t>
  </si>
  <si>
    <t>CJB-CCJ-DSC-SSC_3</t>
  </si>
  <si>
    <t>DGK-DSC-SSC</t>
  </si>
  <si>
    <t>DGK-DSC-SSC_1</t>
  </si>
  <si>
    <t>DGK-DSC-SSC_3</t>
  </si>
  <si>
    <t>DGK-DSC-SSC_4</t>
  </si>
  <si>
    <t>DGK-DSC-SSC_6</t>
  </si>
  <si>
    <t>DGK-EXPR</t>
  </si>
  <si>
    <t>DGK-EXPR_4</t>
  </si>
  <si>
    <t>GAU-INTRA-SSC</t>
  </si>
  <si>
    <t>GAU-M1</t>
  </si>
  <si>
    <t>DC-41-1</t>
  </si>
  <si>
    <t>GAU-EXPR</t>
  </si>
  <si>
    <t>GAU-EXPR_1</t>
  </si>
  <si>
    <t>GAU-RDCDC-SSC</t>
  </si>
  <si>
    <t>HBX-EXPR</t>
  </si>
  <si>
    <t>DC-125-1</t>
  </si>
  <si>
    <t>HBX-EXPR_1</t>
  </si>
  <si>
    <t>HYD-FWD-SSC</t>
  </si>
  <si>
    <t>HYD-FWD-SSC_1</t>
  </si>
  <si>
    <t>HYD-INTRA-SSC</t>
  </si>
  <si>
    <t>HYD-RTS-RCLS-1302-SSC</t>
  </si>
  <si>
    <t>HYD-FWD-SSC_2</t>
  </si>
  <si>
    <t>HYD-EXPR</t>
  </si>
  <si>
    <t>HYD-RDCDC-NEW-SSC</t>
  </si>
  <si>
    <t>HYD-FKM-SSC</t>
  </si>
  <si>
    <t>HYD-RTS-RCLS-1302-SSC_1</t>
  </si>
  <si>
    <t>HYD-RTS-RCLS-1302-SSC_2</t>
  </si>
  <si>
    <t>HYD-RTS-RCLS-1302-SSC_3</t>
  </si>
  <si>
    <t>IDR-DSC-30-SSC_1</t>
  </si>
  <si>
    <t>IDR-DSC-SSC_2</t>
  </si>
  <si>
    <t>IDR-DSC-SSC_1</t>
  </si>
  <si>
    <t>IDR-EXPR</t>
  </si>
  <si>
    <t>IDR-FDCDC-SSC</t>
  </si>
  <si>
    <t>IDR-FKI-SSD-SSC</t>
  </si>
  <si>
    <t>IDR-FDCDC-SSC_2</t>
  </si>
  <si>
    <t>JPR-DSC-SSC</t>
  </si>
  <si>
    <t>JPR-DSC-SSC_1</t>
  </si>
  <si>
    <t>JPR-EXPR</t>
  </si>
  <si>
    <t>JPR-FAL-FWD-SSC</t>
  </si>
  <si>
    <t>JPR-S1</t>
  </si>
  <si>
    <t>JPR-FAL-SSC-B</t>
  </si>
  <si>
    <t>JPR-RTS-RCLS-1602-SSC_1</t>
  </si>
  <si>
    <t>JPR-RCLS-1602-SSC</t>
  </si>
  <si>
    <t>JPR-RTS-RCLS-1602-SSC</t>
  </si>
  <si>
    <t>JPR-FAL-DSC-SSC</t>
  </si>
  <si>
    <t>JPR-RTS-RCLS-1602-SSC_3</t>
  </si>
  <si>
    <t>JPR-RTS-RCLS-1602-SSC_2</t>
  </si>
  <si>
    <t>JPR-FKJ-SDD-SSC</t>
  </si>
  <si>
    <t>JPR-PRIME-ZON-SSC</t>
  </si>
  <si>
    <t>JPR-DSC-SSC_2</t>
  </si>
  <si>
    <t>JPR-RCLS-1602-SSC_2</t>
  </si>
  <si>
    <t>JPR-RCLS-1602-SSC_1</t>
  </si>
  <si>
    <t>JPR-FAL-REV-1602-SSC</t>
  </si>
  <si>
    <t>DKA-DSC-SSC</t>
  </si>
  <si>
    <t>DKA-DSC-SSC_1</t>
  </si>
  <si>
    <t>DKA-DSC-SSC_2</t>
  </si>
  <si>
    <t>DKA-EXPR_1</t>
  </si>
  <si>
    <t>KOC-DSC-30-SSC</t>
  </si>
  <si>
    <t>KOC-DSC-30-SSC_1</t>
  </si>
  <si>
    <t>KOC-DSC-30-SSC_2</t>
  </si>
  <si>
    <t>KOC-PUR-NEY-SSC</t>
  </si>
  <si>
    <t>KOC-PUR-PER-SSC</t>
  </si>
  <si>
    <t>KOC-INTRA-SSC</t>
  </si>
  <si>
    <t>DC-3810-1</t>
  </si>
  <si>
    <t>KRV-EXPR</t>
  </si>
  <si>
    <t>KRV-RTS-RCLS-1302-SSC</t>
  </si>
  <si>
    <t>KRV-RTS-RCLS-1302-SSC_1</t>
  </si>
  <si>
    <t>KRV-RDCDC-N-SSC</t>
  </si>
  <si>
    <t>KOL-M1</t>
  </si>
  <si>
    <t>KOL-M2</t>
  </si>
  <si>
    <t>KOL-PINK-2802-SSC</t>
  </si>
  <si>
    <t>KOL-PRIME-NYK2-SSC</t>
  </si>
  <si>
    <t>DC-12-1</t>
  </si>
  <si>
    <t>KOL-SSC-B</t>
  </si>
  <si>
    <t>KOL-KRV-DSC-SSC_1</t>
  </si>
  <si>
    <t>KOL-FKH-SDD-SSC</t>
  </si>
  <si>
    <t>KOL-INTRA-ZON-SSC</t>
  </si>
  <si>
    <t>KOL-FKU-SDD-SSC</t>
  </si>
  <si>
    <t>KOL-FKU-SDD-SSC_1</t>
  </si>
  <si>
    <t>KOL-FKH-SDD-SSC_1</t>
  </si>
  <si>
    <t>KOL-INTRA-ZON-SSC_1</t>
  </si>
  <si>
    <t>CCJ-PUR-KANNUR-SSC</t>
  </si>
  <si>
    <t>CCJ-DSC-SSC</t>
  </si>
  <si>
    <t>CCJ-DSC-SSC_1</t>
  </si>
  <si>
    <t>CCJ-EXPR</t>
  </si>
  <si>
    <t>CCJ-DSC-SSC_2</t>
  </si>
  <si>
    <t>LKO-EXPR</t>
  </si>
  <si>
    <t>LKO-FWDREG-1103-SSC</t>
  </si>
  <si>
    <t>LKO-RTS-RCLS-0303-SSC</t>
  </si>
  <si>
    <t>LKO-RTS-RCLS-0303-SSC_1</t>
  </si>
  <si>
    <t>LKO-RTS-RCLS-0303-SSC_2</t>
  </si>
  <si>
    <t>DC-53-1</t>
  </si>
  <si>
    <t>LKO-PRIME-SSC</t>
  </si>
  <si>
    <t>LKO-RTS-RCLS-0303-SSC_3</t>
  </si>
  <si>
    <t>LKO-RDCDC-0303-SSC</t>
  </si>
  <si>
    <t>LKO-RTS-RCLS-0303-SSC_4</t>
  </si>
  <si>
    <t>LKO-FKL-SDD-SSC</t>
  </si>
  <si>
    <t>LKO-PUR-SDD-SSC</t>
  </si>
  <si>
    <t>LKO-RTS-RCLS-0303-SSC_5</t>
  </si>
  <si>
    <t>LDH-DSC-SSC</t>
  </si>
  <si>
    <t>LDH-DSC-SSC_1</t>
  </si>
  <si>
    <t>LDH-DSC-SSC_2</t>
  </si>
  <si>
    <t>LDH-DSC-SSC_3</t>
  </si>
  <si>
    <t>LDH-EXPR</t>
  </si>
  <si>
    <t>LDH-NCR-DCDC-N-SSC_1</t>
  </si>
  <si>
    <t>LDH-NCR-DCDC-N-SSC_2</t>
  </si>
  <si>
    <t>LDH-NCR-DCDC-N-SSC_3</t>
  </si>
  <si>
    <t>LDH-PRIME-SSC</t>
  </si>
  <si>
    <t>LDH-NCR-DCDC-N-SSC_4</t>
  </si>
  <si>
    <t>LDH-NCR-DCDC-N-SSC_6</t>
  </si>
  <si>
    <t>LDH-NCR-DCDC-N-SSC_8</t>
  </si>
  <si>
    <t>MDU-DSC-SSC</t>
  </si>
  <si>
    <t>MDU-DSC-SSC_1</t>
  </si>
  <si>
    <t>MDU-EXPR</t>
  </si>
  <si>
    <t>MDU-EXPR_1</t>
  </si>
  <si>
    <t>BOM-FMRTS-SSC</t>
  </si>
  <si>
    <t>BOM-FWDPRI-SSC</t>
  </si>
  <si>
    <t>BOM-FWDREG-SSC</t>
  </si>
  <si>
    <t>BOM-RTS-RCLS-1302-SSC_1</t>
  </si>
  <si>
    <t>BOM-SSD-SSC</t>
  </si>
  <si>
    <t>BOM-AIR-NEW-SSC</t>
  </si>
  <si>
    <t>BOM-FKB-SDD-SSC</t>
  </si>
  <si>
    <t>BOM-RTS-RCLS-1302-SSC</t>
  </si>
  <si>
    <t>BOM-RTS-RCLS-1302-SSC_2</t>
  </si>
  <si>
    <t>BOM-FKS-SDD-SSC</t>
  </si>
  <si>
    <t>BOM-MYM-SDD-SSC</t>
  </si>
  <si>
    <t>BOM-NYB1-SDD-SSC</t>
  </si>
  <si>
    <t>BOM-NYB2-SDD-SSC</t>
  </si>
  <si>
    <t>BOM-PUR-SSC</t>
  </si>
  <si>
    <t>BOM-RTS-RCLS-1302-SSC_3</t>
  </si>
  <si>
    <t>BOM-RDCDCN-SSC</t>
  </si>
  <si>
    <t>BOM-FWDPRI-SSC_2</t>
  </si>
  <si>
    <t>BOM-RDCDCN-SSC_1</t>
  </si>
  <si>
    <t>NBP-INTRA-A-SSC</t>
  </si>
  <si>
    <t>NBP-INTRA-A-SSC_1</t>
  </si>
  <si>
    <t>NBP-INTRA-A-SSC_2</t>
  </si>
  <si>
    <t>NBP-INTRA-A-SSC_3</t>
  </si>
  <si>
    <t>NBP-INTRA-A-SSC_4</t>
  </si>
  <si>
    <t>NBP-INTRA-A-SSC_5</t>
  </si>
  <si>
    <t>NBP-INTRA-A-SSC_6</t>
  </si>
  <si>
    <t>NBP-INTRA-D-SSC</t>
  </si>
  <si>
    <t>NBP-INTRA-D-SSC_1</t>
  </si>
  <si>
    <t>NBP-ZON-D-15-SSC</t>
  </si>
  <si>
    <t>NBP-AIR-DCDC</t>
  </si>
  <si>
    <t>NBP-ZON-A-SSC_6</t>
  </si>
  <si>
    <t>NBP-PRP-SDD15-SSC</t>
  </si>
  <si>
    <t>NBP-INTRA-D-SSC_2</t>
  </si>
  <si>
    <t>NBP-AIR-DCDC_1</t>
  </si>
  <si>
    <t>NBP-AIR-DCDC_2</t>
  </si>
  <si>
    <t>NBP-AIR-DCDC_3</t>
  </si>
  <si>
    <t>NBP-AIR-D-SSC</t>
  </si>
  <si>
    <t>NBP-PRP-ZON15-SSC</t>
  </si>
  <si>
    <t>NBP-AIR-SSC</t>
  </si>
  <si>
    <t>NBP-ZON-A-SSC</t>
  </si>
  <si>
    <t>NBP-ZON-A-SSC_1</t>
  </si>
  <si>
    <t>NBP-ZON-A-SSC_2</t>
  </si>
  <si>
    <t>NBP-ZON-A-SSC_3</t>
  </si>
  <si>
    <t>NBP-AIR-DCDC_4</t>
  </si>
  <si>
    <t>NCR-BSP-DSC-SSC</t>
  </si>
  <si>
    <t>NCR-BSP-DSC-SSC_1</t>
  </si>
  <si>
    <t>NCR-EXPR</t>
  </si>
  <si>
    <t>NCR-FAL-FWD-SSC</t>
  </si>
  <si>
    <t>NCR-M2</t>
  </si>
  <si>
    <t>NCR-S1</t>
  </si>
  <si>
    <t>NCR-S2</t>
  </si>
  <si>
    <t>NCR-S3</t>
  </si>
  <si>
    <t>NCR-SSC-B</t>
  </si>
  <si>
    <t>DC-1-1</t>
  </si>
  <si>
    <t>NCR-FKF-SDD-SSC</t>
  </si>
  <si>
    <t>NCR-FKS-SDD-SSC</t>
  </si>
  <si>
    <t>NCR-M1</t>
  </si>
  <si>
    <t>TAU-FMRTS-PRI-SSC_1</t>
  </si>
  <si>
    <t>TAU-FMRTS-SEC-SSC_1</t>
  </si>
  <si>
    <t>TAU-RDCDC-SSC_1</t>
  </si>
  <si>
    <t>TAU-RTS-RCLS-1302-SSC</t>
  </si>
  <si>
    <t>TAU-RTS-RCLS-1302-SSC_1</t>
  </si>
  <si>
    <t>TAU-RTS-RCLS-1302-SSC_2</t>
  </si>
  <si>
    <t>TAU-FMRTS-PRI-SSC_19</t>
  </si>
  <si>
    <t>TAU-RDCDC-SSC</t>
  </si>
  <si>
    <t>TAU-RTS-RCLS-1302-SSC_3</t>
  </si>
  <si>
    <t>TAU-FMRTS-PRI-SSC_12</t>
  </si>
  <si>
    <t>TAU-FMRTS-PRI-SSC_18</t>
  </si>
  <si>
    <t>TAU-FWD-DCDC-SSC_1</t>
  </si>
  <si>
    <t>TAU-FMRTS-PRI-SSC_13</t>
  </si>
  <si>
    <t>TAU-FMRTS-PRI-SSC_2</t>
  </si>
  <si>
    <t>TAU-FMRTS-PRI-SSC_3</t>
  </si>
  <si>
    <t>TAU-FWD-DCDC-SSC</t>
  </si>
  <si>
    <t>TAU-RTS-RCLS-1302-SSC_4</t>
  </si>
  <si>
    <t>TAU-RTS-RCLS-1302-SSC_7</t>
  </si>
  <si>
    <t>TAU-RTS-RCLS-1302-SSC_5</t>
  </si>
  <si>
    <t>TAU-RDCDC-SSC_3</t>
  </si>
  <si>
    <t>TAU-RTS-RCLS-1302-SSC_6</t>
  </si>
  <si>
    <t>NAG-M1</t>
  </si>
  <si>
    <t>NAG-M2</t>
  </si>
  <si>
    <t>NAG-M3</t>
  </si>
  <si>
    <t>NAG-DSC-SSC</t>
  </si>
  <si>
    <t>NAG-DSC-SSC_1</t>
  </si>
  <si>
    <t>NAG-DSC-SSC_2</t>
  </si>
  <si>
    <t>NAG-M4</t>
  </si>
  <si>
    <t>NAG-RDCDC-SSC</t>
  </si>
  <si>
    <t>BSP-EXPR</t>
  </si>
  <si>
    <t>BSP-FAL-FWD-SSC_2</t>
  </si>
  <si>
    <t>BSP-FWD-50-SSC</t>
  </si>
  <si>
    <t>BSP-LENB-SDD-SSC</t>
  </si>
  <si>
    <t>DC-3838-1</t>
  </si>
  <si>
    <t>BSP-FAL-Z2-DIRECT-SSC</t>
  </si>
  <si>
    <t>BSP-FAL-FWD-SSC</t>
  </si>
  <si>
    <t>BSP-FAL-Z1-DIRECT-SSC</t>
  </si>
  <si>
    <t>BSP-FAL-REV-SSC</t>
  </si>
  <si>
    <t>BSP-FAL-Z1-REV-DSPLIT-SSC</t>
  </si>
  <si>
    <t>BSP-FAL-REV-SSC_1</t>
  </si>
  <si>
    <t>BSP-FAL-REV-SSC_2</t>
  </si>
  <si>
    <t>BSP-FAL-REV-SSC_3</t>
  </si>
  <si>
    <t>BSP-LENM-SDD-SSC</t>
  </si>
  <si>
    <t>PAT-INTRA-SSC</t>
  </si>
  <si>
    <t>PAT-RTS-RCLS-1302-SSC</t>
  </si>
  <si>
    <t>PAT-FWD-SSC</t>
  </si>
  <si>
    <t>PAT-FWD-SSC_1</t>
  </si>
  <si>
    <t>PAT-INTRA-SSC_1</t>
  </si>
  <si>
    <t>PAT-EXPR</t>
  </si>
  <si>
    <t>PAT-RTS-RCLS-1302-SSC_1</t>
  </si>
  <si>
    <t>DC-62-1</t>
  </si>
  <si>
    <t>PAT-FKP-SDD-SSC</t>
  </si>
  <si>
    <t>PAT-RTS-RCLS-1302-SSC_2</t>
  </si>
  <si>
    <t>PAT-RDCDC-SSC</t>
  </si>
  <si>
    <t>PAT-DSC-EXPR-SSC</t>
  </si>
  <si>
    <t>PAT-EXPR_1</t>
  </si>
  <si>
    <t>PAT-FKP-SDD-SSC_1</t>
  </si>
  <si>
    <t>DC-13-1</t>
  </si>
  <si>
    <t>PUN-PRIME-SSC_1</t>
  </si>
  <si>
    <t>PUN-EXPR-30-SSC</t>
  </si>
  <si>
    <t>PUN-EXPR-30-SSC_1</t>
  </si>
  <si>
    <t>PUN-PRIME-SSC</t>
  </si>
  <si>
    <t>PUN-AIR-SSC</t>
  </si>
  <si>
    <t>PUN-FKP-SDD-SSC</t>
  </si>
  <si>
    <t>RPR-DSC-SSC</t>
  </si>
  <si>
    <t>RPR-DSC-SSC_1</t>
  </si>
  <si>
    <t>RPR-EXPR</t>
  </si>
  <si>
    <t>RJA-DSC-SSC</t>
  </si>
  <si>
    <t>RJA-DSC-SSC_1</t>
  </si>
  <si>
    <t>RCH-DSC-SSC_1</t>
  </si>
  <si>
    <t>RCH-EXPR</t>
  </si>
  <si>
    <t>RCH-DSC-SSC</t>
  </si>
  <si>
    <t>RCH-DSC-SSC_2</t>
  </si>
  <si>
    <t>RCH-DSC-SSC_3</t>
  </si>
  <si>
    <t>RCH-EXPR_1</t>
  </si>
  <si>
    <t>SGR-DSC-SSC</t>
  </si>
  <si>
    <t>SGR-DSC-SSC_1</t>
  </si>
  <si>
    <t>SGR-DSC-SSC_2</t>
  </si>
  <si>
    <t>SGR-DSC-SSC_3</t>
  </si>
  <si>
    <t>SGR-EXPR_1</t>
  </si>
  <si>
    <t>SGR-EXPR</t>
  </si>
  <si>
    <t>SIL-DSC-30-SSC</t>
  </si>
  <si>
    <t>SIL-DSC-30-SSC_1</t>
  </si>
  <si>
    <t>SIL-DSC-SSC</t>
  </si>
  <si>
    <t>SIL-DSC-SSC_1</t>
  </si>
  <si>
    <t>SIL-EXPR</t>
  </si>
  <si>
    <t>SIL-DSC-SSC_3</t>
  </si>
  <si>
    <t>SRT-DSC-SSC_1</t>
  </si>
  <si>
    <t>SRT-DSC-SSC_2</t>
  </si>
  <si>
    <t>SRT-EXPR</t>
  </si>
  <si>
    <t>SRT-FAL-FWD-SSC</t>
  </si>
  <si>
    <t>SRT-PINK-SSC</t>
  </si>
  <si>
    <t>SRT-SSC-B</t>
  </si>
  <si>
    <t>SRT-M1</t>
  </si>
  <si>
    <t>SRT-SSC-B_1</t>
  </si>
  <si>
    <t>SRT-M2</t>
  </si>
  <si>
    <t>SRT-EXPR_1</t>
  </si>
  <si>
    <t>SRT-GDDRA-SSC</t>
  </si>
  <si>
    <t>SRT-GDDRA-SSC_1</t>
  </si>
  <si>
    <t>SRT-M3</t>
  </si>
  <si>
    <t>SRT-M6</t>
  </si>
  <si>
    <t>SRT-M4</t>
  </si>
  <si>
    <t>SRT-RCLSN-SSC</t>
  </si>
  <si>
    <t>SRT-M5</t>
  </si>
  <si>
    <t>SRT-M8</t>
  </si>
  <si>
    <t>SRT-DSC-SSC_3</t>
  </si>
  <si>
    <t>SRT-M7</t>
  </si>
  <si>
    <t>SRT-AIR-PRIME-SSC</t>
  </si>
  <si>
    <t>SRT-DSC-SSC</t>
  </si>
  <si>
    <t>SRT-HYBRID-SSC</t>
  </si>
  <si>
    <t>SRT-M9</t>
  </si>
  <si>
    <t>SRT-GDDRA-SSC_2</t>
  </si>
  <si>
    <t>DVR-EXPR-30-SSC</t>
  </si>
  <si>
    <t>DVR-EXPR-30-SSC_1</t>
  </si>
  <si>
    <t>DC-72-1</t>
  </si>
  <si>
    <t>VGA-DSC-SSC</t>
  </si>
  <si>
    <t>VGA-EXPR</t>
  </si>
  <si>
    <t>VGA-DSC-SSC_2</t>
  </si>
  <si>
    <t>VGA-DSC-SSC_3</t>
  </si>
  <si>
    <t>VGA-SDD-SSC</t>
  </si>
  <si>
    <t>VTZ-DSC-SSC_1</t>
  </si>
  <si>
    <t>VTZ-DSC-SSC</t>
  </si>
  <si>
    <t>VTZ-EXPR</t>
  </si>
  <si>
    <t>VTZ-EXPR_1</t>
  </si>
  <si>
    <t>Minutes</t>
  </si>
  <si>
    <t>Relative</t>
  </si>
  <si>
    <t>Prior</t>
  </si>
  <si>
    <t>Post</t>
  </si>
  <si>
    <t>DC</t>
  </si>
  <si>
    <t>Ahmedabad DC</t>
  </si>
  <si>
    <t>Bangalore DC</t>
  </si>
  <si>
    <t>Bhopal DC</t>
  </si>
  <si>
    <t>Bhubneshwar DC</t>
  </si>
  <si>
    <t>CCU_Large DC</t>
  </si>
  <si>
    <t>Chennai DC</t>
  </si>
  <si>
    <t>Coimbatore DC</t>
  </si>
  <si>
    <t>Gorakhpur DC</t>
  </si>
  <si>
    <t>Guwahati DC</t>
  </si>
  <si>
    <t>Hubli DC</t>
  </si>
  <si>
    <t>Hyderabad DC</t>
  </si>
  <si>
    <t>Indore DC</t>
  </si>
  <si>
    <t>Jaipur DC</t>
  </si>
  <si>
    <t>Kanpur DC</t>
  </si>
  <si>
    <t>Kochi DC</t>
  </si>
  <si>
    <t>Kolkata 2 DC</t>
  </si>
  <si>
    <t>Kolkata DC</t>
  </si>
  <si>
    <t>Kozhikode DC</t>
  </si>
  <si>
    <t>Lucknow DC</t>
  </si>
  <si>
    <t>Ludhiana DC</t>
  </si>
  <si>
    <t>Madurai DC</t>
  </si>
  <si>
    <t>Mumbai DC</t>
  </si>
  <si>
    <t>NCR Bamnoli DC</t>
  </si>
  <si>
    <t>NCR Bilaspur DC</t>
  </si>
  <si>
    <t>NCR Tauru DC</t>
  </si>
  <si>
    <t>Nagpur DC</t>
  </si>
  <si>
    <t>OneNCR DC</t>
  </si>
  <si>
    <t>Patna DC</t>
  </si>
  <si>
    <t>Pune DC</t>
  </si>
  <si>
    <t>Raipur DC</t>
  </si>
  <si>
    <t>Rajahmundry DC</t>
  </si>
  <si>
    <t>Ranchi DC</t>
  </si>
  <si>
    <t>Sagar DC</t>
  </si>
  <si>
    <t>Siliguri DC</t>
  </si>
  <si>
    <t>Surat DC</t>
  </si>
  <si>
    <t>Varanasi DC</t>
  </si>
  <si>
    <t>Vijayawada DC</t>
  </si>
  <si>
    <t>Visakhapatnam DC</t>
  </si>
  <si>
    <t>AMD-M1</t>
  </si>
  <si>
    <t>AMD-M2</t>
  </si>
  <si>
    <t>DC-10-1</t>
  </si>
  <si>
    <t>AMD-MU-01</t>
  </si>
  <si>
    <t>BLR-FWDPRI-SSC_2</t>
  </si>
  <si>
    <t>BLR-RDCDC-SSC</t>
  </si>
  <si>
    <t>BLR-FWDREG-SSC_2</t>
  </si>
  <si>
    <t>BLR-C2-REV-SSC</t>
  </si>
  <si>
    <t>BLR-IPC-NELM-PRIME-SSC</t>
  </si>
  <si>
    <t>BLR-RDCDC-SSC_1</t>
  </si>
  <si>
    <t>BLR-INTRA-PRIME-SSC_5</t>
  </si>
  <si>
    <t>BLR-RTS-RCLS-1302-SSC_3</t>
  </si>
  <si>
    <t>BLR-AIR-PPRIME-SSC-15_1</t>
  </si>
  <si>
    <t>BLR-C2-R-1203-SSC_1</t>
  </si>
  <si>
    <t>BBI-EXPR_3</t>
  </si>
  <si>
    <t>CHN-INTRA-SSC_1</t>
  </si>
  <si>
    <t>CHN-PB-AIR-SSC</t>
  </si>
  <si>
    <t>DGK-DSC-SSC_2</t>
  </si>
  <si>
    <t>DGK-EXPR_3</t>
  </si>
  <si>
    <t>DGK-DSC-SSC_5</t>
  </si>
  <si>
    <t>DGK-EXPR_1</t>
  </si>
  <si>
    <t>DGK-DSC-SSC_7</t>
  </si>
  <si>
    <t>DGK-EXPR_2</t>
  </si>
  <si>
    <t>HYD-FWD-SSC_3</t>
  </si>
  <si>
    <t>HYD-INTRA-SSC_1</t>
  </si>
  <si>
    <t>HYD-FWD-SSC_4</t>
  </si>
  <si>
    <t>IDR-DSC-SSC_3</t>
  </si>
  <si>
    <t>JPR-EXPR_1</t>
  </si>
  <si>
    <t>JPR-S2</t>
  </si>
  <si>
    <t>KOC-DSC-SSC</t>
  </si>
  <si>
    <t>KOC-DSC-SSC_1</t>
  </si>
  <si>
    <t>KOC-DSC-SSC_2</t>
  </si>
  <si>
    <t>KOC-EXPR_2</t>
  </si>
  <si>
    <t>KOC-EXPR_1</t>
  </si>
  <si>
    <t>KOC-EXPR</t>
  </si>
  <si>
    <t>KRV-EXPR_1</t>
  </si>
  <si>
    <t>KOL-PRP-SDD-SSC</t>
  </si>
  <si>
    <t>KOL-KRV-DSC-SSC</t>
  </si>
  <si>
    <t>KOL-M3</t>
  </si>
  <si>
    <t>LKO-FWDREG-SSC</t>
  </si>
  <si>
    <t>LKO-M5</t>
  </si>
  <si>
    <t>LKO-M1</t>
  </si>
  <si>
    <t>LKO-RDCDC-0303-SSC_1</t>
  </si>
  <si>
    <t>LKO-RDCDC-SSC</t>
  </si>
  <si>
    <t>LDH-PRIME-SSC_1</t>
  </si>
  <si>
    <t>LDH-NCR-DCDC-N-SSC_7</t>
  </si>
  <si>
    <t>LDH-NCR-DCDC-N-SSC_9</t>
  </si>
  <si>
    <t>LDH-NCR-DCDC-N-SSC_5</t>
  </si>
  <si>
    <t>BOM-FWDREG-SSC_1</t>
  </si>
  <si>
    <t>BOM-FWDPRI-SSC_1</t>
  </si>
  <si>
    <t>NBP-INTRA-A-SSC_7</t>
  </si>
  <si>
    <t>NBP-ZON-D15-SSC</t>
  </si>
  <si>
    <t>NBP-PURP-SDD-SSC</t>
  </si>
  <si>
    <t>NBP-PURP-ZON-SSC</t>
  </si>
  <si>
    <t>NBP-ZON-D-SSC</t>
  </si>
  <si>
    <t>NBP-ZON-D-SSC_1</t>
  </si>
  <si>
    <t>NBP-ZON-A-SSC_4</t>
  </si>
  <si>
    <t>NBP-AIR-DCDC_5</t>
  </si>
  <si>
    <t>NBP-FMRTS-PRI-SSC</t>
  </si>
  <si>
    <t>NBP-FMRTS-SEC-SSC</t>
  </si>
  <si>
    <t>NCR-MYBLP-PRIME-SCC</t>
  </si>
  <si>
    <t>TAU-FMRTS-SEC-SSC_2</t>
  </si>
  <si>
    <t>TAU-FMRTS-PRI-SSC_17</t>
  </si>
  <si>
    <t>TAU-FMRTS-PRI-SSC_7</t>
  </si>
  <si>
    <t>TAU-FMRTS-PRI-SSC_15</t>
  </si>
  <si>
    <t>NAG-DSC-SSC_3</t>
  </si>
  <si>
    <t>NAG-RDCDC-SSC_2</t>
  </si>
  <si>
    <t>BSP-RTS-RCLS-1302-SSC</t>
  </si>
  <si>
    <t>BSP-RTS-RCLS-1302-SSC_3</t>
  </si>
  <si>
    <t>BSP-RTS-RCLS-1302-SSC_4</t>
  </si>
  <si>
    <t>BSP-RTS-RCLS-1302-SSC_1</t>
  </si>
  <si>
    <t>PAT-M4</t>
  </si>
  <si>
    <t>PAT-DSC-SSC_3</t>
  </si>
  <si>
    <t>PAT-DSC-EXPR-SSC_1</t>
  </si>
  <si>
    <t>PUN-PRIME-SSC_2</t>
  </si>
  <si>
    <t>SIL-DSC-SSC_2</t>
  </si>
  <si>
    <t>SRT-M10</t>
  </si>
  <si>
    <t>SRT-RCLSN-SSC_1</t>
  </si>
  <si>
    <t>DC-9-1</t>
  </si>
  <si>
    <t>VTZ-DSC-SSC_2</t>
  </si>
  <si>
    <t>VTZ-DSC-SSC_3</t>
  </si>
  <si>
    <t>TestDC</t>
  </si>
  <si>
    <t>IB Cross-Dock</t>
  </si>
  <si>
    <t>IB Cross-Dock Bag Sorter</t>
  </si>
  <si>
    <t>IB Regular</t>
  </si>
  <si>
    <t>Type</t>
  </si>
  <si>
    <t>Site</t>
  </si>
  <si>
    <t>XD&amp;DSC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</si>
</sst>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_(* #,##0.0000_);_(* \(#,##0.0000\);_(* &quot;-&quot;??_);_(@_)"/>
  </numFmts>
  <fonts count="12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Cambria"/>
      <family val="1"/>
    </font>
    <font>
      <b/>
      <sz val="9"/>
      <color rgb="FFFFFFFF"/>
      <name val="Cambria"/>
      <family val="1"/>
    </font>
    <font>
      <b/>
      <sz val="10"/>
      <color rgb="FFFFFFFF"/>
      <name val="Cambria"/>
      <family val="1"/>
    </font>
    <font>
      <b/>
      <i/>
      <sz val="9"/>
      <color rgb="FF888888"/>
      <name val="Cambria"/>
      <family val="1"/>
    </font>
    <font>
      <i/>
      <sz val="9"/>
      <color rgb="FF888888"/>
      <name val="Cambria"/>
      <family val="1"/>
    </font>
    <font>
      <b/>
      <sz val="10"/>
      <name val="Cambria"/>
      <family val="1"/>
    </font>
    <font>
      <sz val="10"/>
      <color rgb="FF0000FF"/>
      <name val="Cambria"/>
      <family val="1"/>
    </font>
    <font>
      <b/>
      <sz val="11"/>
      <color rgb="FF1B4332"/>
      <name val="Cambria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B4332"/>
        <bgColor rgb="FF333300"/>
      </patternFill>
    </fill>
    <fill>
      <patternFill patternType="solid">
        <fgColor rgb="FFC5E063"/>
        <bgColor rgb="FFFFCC99"/>
      </patternFill>
    </fill>
    <fill>
      <patternFill patternType="solid">
        <fgColor rgb="FFF5F5F5"/>
        <bgColor rgb="FFF0F7E8"/>
      </patternFill>
    </fill>
    <fill>
      <patternFill patternType="solid">
        <fgColor rgb="FFE8F5E9"/>
        <bgColor rgb="FFF0F7E8"/>
      </patternFill>
    </fill>
    <fill>
      <patternFill patternType="solid">
        <fgColor rgb="FFF0F7E8"/>
        <bgColor rgb="FFE8F5E9"/>
      </patternFill>
    </fill>
    <fill>
      <patternFill patternType="solid">
        <fgColor rgb="FFFFF3E0"/>
        <bgColor rgb="FFFFF9E6"/>
      </patternFill>
    </fill>
    <fill>
      <patternFill patternType="solid">
        <fgColor rgb="FFD4E6D9"/>
        <bgColor rgb="FFE8F5E9"/>
      </patternFill>
    </fill>
    <fill>
      <patternFill patternType="solid">
        <fgColor rgb="FFFFF9E6"/>
        <bgColor rgb="FFFFF3E0"/>
      </patternFill>
    </fill>
    <fill>
      <patternFill patternType="solid">
        <fgColor rgb="FFD9D2E9"/>
        <bgColor indexed="64"/>
      </patternFill>
    </fill>
  </fills>
  <borders count="5">
    <border>
      <left/>
      <right/>
      <top/>
      <bottom/>
      <diagonal/>
    </border>
    <border>
      <left style="thin">
        <color rgb="FFD4E6D9"/>
      </left>
      <right style="thin">
        <color rgb="FFD4E6D9"/>
      </right>
      <top style="thin">
        <color rgb="FFD4E6D9"/>
      </top>
      <bottom style="thin">
        <color rgb="FFD4E6D9"/>
      </bottom>
      <diagonal/>
    </border>
    <border>
      <left style="thin">
        <color rgb="FFD4E6D9"/>
      </left>
      <right style="thin">
        <color rgb="FFD4E6D9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64" fontId="6" fillId="4" borderId="1" xfId="0" applyNumberFormat="1" applyFont="1" applyFill="1" applyBorder="1" applyAlignment="1">
      <alignment horizontal="center"/>
    </xf>
    <xf numFmtId="0" fontId="0" fillId="4" borderId="1" xfId="0" applyFill="1" applyBorder="1"/>
    <xf numFmtId="0" fontId="7" fillId="0" borderId="1" xfId="0" applyFont="1" applyBorder="1"/>
    <xf numFmtId="9" fontId="0" fillId="5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0" fontId="8" fillId="0" borderId="1" xfId="0" applyNumberFormat="1" applyFont="1" applyBorder="1" applyAlignment="1">
      <alignment horizontal="center"/>
    </xf>
    <xf numFmtId="164" fontId="9" fillId="6" borderId="1" xfId="0" applyNumberFormat="1" applyFont="1" applyFill="1" applyBorder="1" applyAlignment="1">
      <alignment horizontal="center"/>
    </xf>
    <xf numFmtId="9" fontId="0" fillId="7" borderId="1" xfId="0" applyNumberFormat="1" applyFill="1" applyBorder="1" applyAlignment="1">
      <alignment horizontal="center"/>
    </xf>
    <xf numFmtId="0" fontId="0" fillId="0" borderId="1" xfId="0" applyBorder="1"/>
    <xf numFmtId="0" fontId="0" fillId="8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165" fontId="1" fillId="0" borderId="0" xfId="1" applyNumberFormat="1"/>
    <xf numFmtId="9" fontId="0" fillId="0" borderId="1" xfId="0" applyNumberFormat="1" applyBorder="1" applyAlignment="1">
      <alignment horizontal="center"/>
    </xf>
    <xf numFmtId="0" fontId="7" fillId="0" borderId="2" xfId="0" applyFont="1" applyBorder="1"/>
    <xf numFmtId="9" fontId="0" fillId="0" borderId="0" xfId="0" applyNumberFormat="1"/>
    <xf numFmtId="43" fontId="0" fillId="0" borderId="0" xfId="0" applyNumberFormat="1"/>
    <xf numFmtId="0" fontId="10" fillId="10" borderId="3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63"/>
      <rgbColor rgb="FF888888"/>
      <rgbColor rgb="FF9999FF"/>
      <rgbColor rgb="FF993366"/>
      <rgbColor rgb="FFFFF9E6"/>
      <rgbColor rgb="FFE8F5E9"/>
      <rgbColor rgb="FF660066"/>
      <rgbColor rgb="FFFF8080"/>
      <rgbColor rgb="FF0066CC"/>
      <rgbColor rgb="FFF5F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7E8"/>
      <rgbColor rgb="FFD4E6D9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433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3A95E-3DF1-4496-8380-5B3BDE00CF44}">
  <dimension ref="B2:AF23"/>
  <sheetViews>
    <sheetView showGridLines="0" tabSelected="1" topLeftCell="R1" workbookViewId="0">
      <selection activeCell="C6" sqref="C6"/>
    </sheetView>
  </sheetViews>
  <sheetFormatPr defaultRowHeight="14.5" x14ac:dyDescent="0.35"/>
  <cols>
    <col min="2" max="2" width="8.1796875" bestFit="1" customWidth="1"/>
    <col min="3" max="3" width="16.1796875" bestFit="1" customWidth="1"/>
  </cols>
  <sheetData>
    <row r="2" spans="2:32" ht="57.5" x14ac:dyDescent="0.35">
      <c r="B2" s="23" t="s">
        <v>558</v>
      </c>
      <c r="C2" s="24" t="s">
        <v>559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40</v>
      </c>
      <c r="O2" s="2" t="s">
        <v>11</v>
      </c>
      <c r="P2" s="2" t="s">
        <v>41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17</v>
      </c>
      <c r="V2" s="2" t="s">
        <v>18</v>
      </c>
      <c r="W2" s="2" t="s">
        <v>19</v>
      </c>
      <c r="X2" s="2" t="s">
        <v>20</v>
      </c>
      <c r="Y2" s="2" t="s">
        <v>21</v>
      </c>
      <c r="Z2" s="2" t="s">
        <v>22</v>
      </c>
      <c r="AA2" s="2" t="s">
        <v>23</v>
      </c>
      <c r="AB2" s="2" t="s">
        <v>43</v>
      </c>
      <c r="AC2" s="2" t="s">
        <v>12</v>
      </c>
      <c r="AD2" s="2" t="s">
        <v>44</v>
      </c>
      <c r="AE2" s="2" t="s">
        <v>45</v>
      </c>
      <c r="AF2" s="2" t="s">
        <v>46</v>
      </c>
    </row>
    <row r="3" spans="2:32" x14ac:dyDescent="0.35">
      <c r="B3" s="25" t="s">
        <v>560</v>
      </c>
      <c r="C3" s="26" t="s">
        <v>437</v>
      </c>
      <c r="D3" s="21">
        <v>1</v>
      </c>
      <c r="E3" s="21">
        <v>1</v>
      </c>
      <c r="F3" s="21">
        <v>0.5</v>
      </c>
      <c r="G3" s="21">
        <v>0.5</v>
      </c>
      <c r="H3" s="21">
        <v>0.5</v>
      </c>
      <c r="I3" s="21">
        <v>1</v>
      </c>
      <c r="J3" s="21">
        <v>1</v>
      </c>
      <c r="K3" s="21">
        <v>1</v>
      </c>
      <c r="L3" s="21">
        <v>1</v>
      </c>
      <c r="M3" s="21">
        <v>1</v>
      </c>
      <c r="N3" s="21">
        <v>1</v>
      </c>
      <c r="O3" s="21">
        <v>1</v>
      </c>
      <c r="P3" s="21">
        <v>1</v>
      </c>
      <c r="Q3" s="21">
        <v>1</v>
      </c>
      <c r="R3" s="21">
        <v>1</v>
      </c>
      <c r="S3" s="21">
        <v>1</v>
      </c>
      <c r="T3" s="21">
        <v>1</v>
      </c>
      <c r="U3" s="21">
        <v>1</v>
      </c>
      <c r="V3" s="21">
        <v>1</v>
      </c>
      <c r="W3" s="21">
        <v>1</v>
      </c>
      <c r="X3" s="21">
        <v>1</v>
      </c>
      <c r="Y3" s="21">
        <v>1</v>
      </c>
      <c r="Z3" s="21">
        <v>1</v>
      </c>
      <c r="AA3" s="21">
        <v>1</v>
      </c>
      <c r="AB3" s="21">
        <v>1</v>
      </c>
      <c r="AC3" s="21">
        <v>1</v>
      </c>
      <c r="AD3" s="21">
        <v>1</v>
      </c>
      <c r="AE3" s="21">
        <v>1</v>
      </c>
      <c r="AF3" s="21">
        <v>1</v>
      </c>
    </row>
    <row r="4" spans="2:32" x14ac:dyDescent="0.35">
      <c r="B4" s="25" t="s">
        <v>560</v>
      </c>
      <c r="C4" s="26" t="s">
        <v>438</v>
      </c>
      <c r="D4" s="21">
        <v>1</v>
      </c>
      <c r="E4" s="21">
        <v>1</v>
      </c>
      <c r="F4" s="21">
        <v>0.5</v>
      </c>
      <c r="G4" s="21">
        <v>0.5</v>
      </c>
      <c r="H4" s="21">
        <v>0.5</v>
      </c>
      <c r="I4" s="21">
        <v>1</v>
      </c>
      <c r="J4" s="21">
        <v>1</v>
      </c>
      <c r="K4" s="21">
        <v>1</v>
      </c>
      <c r="L4" s="21">
        <v>1</v>
      </c>
      <c r="M4" s="21">
        <v>1</v>
      </c>
      <c r="N4" s="21">
        <v>1</v>
      </c>
      <c r="O4" s="21">
        <v>1</v>
      </c>
      <c r="P4" s="21">
        <v>1</v>
      </c>
      <c r="Q4" s="21">
        <v>1</v>
      </c>
      <c r="R4" s="21">
        <v>1</v>
      </c>
      <c r="S4" s="21">
        <v>1</v>
      </c>
      <c r="T4" s="21">
        <v>1</v>
      </c>
      <c r="U4" s="21">
        <v>1</v>
      </c>
      <c r="V4" s="21">
        <v>1</v>
      </c>
      <c r="W4" s="21">
        <v>1</v>
      </c>
      <c r="X4" s="21">
        <v>1</v>
      </c>
      <c r="Y4" s="21">
        <v>1</v>
      </c>
      <c r="Z4" s="21">
        <v>1</v>
      </c>
      <c r="AA4" s="21">
        <v>1</v>
      </c>
      <c r="AB4" s="21">
        <v>1</v>
      </c>
      <c r="AC4" s="21">
        <v>1</v>
      </c>
      <c r="AD4" s="21">
        <v>1</v>
      </c>
      <c r="AE4" s="21">
        <v>1</v>
      </c>
      <c r="AF4" s="21">
        <v>1</v>
      </c>
    </row>
    <row r="5" spans="2:32" x14ac:dyDescent="0.35">
      <c r="B5" s="25" t="s">
        <v>560</v>
      </c>
      <c r="C5" s="26" t="s">
        <v>440</v>
      </c>
      <c r="D5" s="21">
        <v>1</v>
      </c>
      <c r="E5" s="21">
        <v>1</v>
      </c>
      <c r="F5" s="21">
        <v>0.5</v>
      </c>
      <c r="G5" s="21">
        <v>0.5</v>
      </c>
      <c r="H5" s="21">
        <v>0.5</v>
      </c>
      <c r="I5" s="21">
        <v>1</v>
      </c>
      <c r="J5" s="21">
        <v>1</v>
      </c>
      <c r="K5" s="21">
        <v>1</v>
      </c>
      <c r="L5" s="21">
        <v>1</v>
      </c>
      <c r="M5" s="21">
        <v>1</v>
      </c>
      <c r="N5" s="21">
        <v>1</v>
      </c>
      <c r="O5" s="21">
        <v>1</v>
      </c>
      <c r="P5" s="21">
        <v>1</v>
      </c>
      <c r="Q5" s="21">
        <v>1</v>
      </c>
      <c r="R5" s="21">
        <v>1</v>
      </c>
      <c r="S5" s="21">
        <v>1</v>
      </c>
      <c r="T5" s="21">
        <v>1</v>
      </c>
      <c r="U5" s="21">
        <v>1</v>
      </c>
      <c r="V5" s="21">
        <v>1</v>
      </c>
      <c r="W5" s="21">
        <v>1</v>
      </c>
      <c r="X5" s="21">
        <v>1</v>
      </c>
      <c r="Y5" s="21">
        <v>1</v>
      </c>
      <c r="Z5" s="21">
        <v>1</v>
      </c>
      <c r="AA5" s="21">
        <v>1</v>
      </c>
      <c r="AB5" s="21">
        <v>1</v>
      </c>
      <c r="AC5" s="21">
        <v>1</v>
      </c>
      <c r="AD5" s="21">
        <v>1</v>
      </c>
      <c r="AE5" s="21">
        <v>1</v>
      </c>
      <c r="AF5" s="21">
        <v>1</v>
      </c>
    </row>
    <row r="6" spans="2:32" x14ac:dyDescent="0.35">
      <c r="B6" s="25" t="s">
        <v>560</v>
      </c>
      <c r="C6" s="26" t="s">
        <v>441</v>
      </c>
      <c r="D6" s="21">
        <v>1</v>
      </c>
      <c r="E6" s="21">
        <v>1</v>
      </c>
      <c r="F6" s="21">
        <v>0.5</v>
      </c>
      <c r="G6" s="21">
        <v>0.5</v>
      </c>
      <c r="H6" s="21">
        <v>0.5</v>
      </c>
      <c r="I6" s="21">
        <v>1</v>
      </c>
      <c r="J6" s="21">
        <v>1</v>
      </c>
      <c r="K6" s="21">
        <v>1</v>
      </c>
      <c r="L6" s="21">
        <v>1</v>
      </c>
      <c r="M6" s="21">
        <v>1</v>
      </c>
      <c r="N6" s="21">
        <v>1</v>
      </c>
      <c r="O6" s="21">
        <v>1</v>
      </c>
      <c r="P6" s="21">
        <v>1</v>
      </c>
      <c r="Q6" s="21">
        <v>1</v>
      </c>
      <c r="R6" s="21">
        <v>1</v>
      </c>
      <c r="S6" s="21">
        <v>1</v>
      </c>
      <c r="T6" s="21">
        <v>1</v>
      </c>
      <c r="U6" s="21">
        <v>1</v>
      </c>
      <c r="V6" s="21">
        <v>1</v>
      </c>
      <c r="W6" s="21">
        <v>1</v>
      </c>
      <c r="X6" s="21">
        <v>1</v>
      </c>
      <c r="Y6" s="21">
        <v>1</v>
      </c>
      <c r="Z6" s="21">
        <v>1</v>
      </c>
      <c r="AA6" s="21">
        <v>1</v>
      </c>
      <c r="AB6" s="21">
        <v>1</v>
      </c>
      <c r="AC6" s="21">
        <v>1</v>
      </c>
      <c r="AD6" s="21">
        <v>1</v>
      </c>
      <c r="AE6" s="21">
        <v>1</v>
      </c>
      <c r="AF6" s="21">
        <v>1</v>
      </c>
    </row>
    <row r="7" spans="2:32" x14ac:dyDescent="0.35">
      <c r="B7" s="25" t="s">
        <v>560</v>
      </c>
      <c r="C7" s="26" t="s">
        <v>442</v>
      </c>
      <c r="D7" s="21">
        <v>1</v>
      </c>
      <c r="E7" s="21">
        <v>1</v>
      </c>
      <c r="F7" s="21">
        <v>0.5</v>
      </c>
      <c r="G7" s="21">
        <v>0.5</v>
      </c>
      <c r="H7" s="21">
        <v>0.5</v>
      </c>
      <c r="I7" s="21">
        <v>1</v>
      </c>
      <c r="J7" s="21">
        <v>1</v>
      </c>
      <c r="K7" s="21">
        <v>1</v>
      </c>
      <c r="L7" s="21">
        <v>1</v>
      </c>
      <c r="M7" s="21">
        <v>1</v>
      </c>
      <c r="N7" s="21">
        <v>1</v>
      </c>
      <c r="O7" s="21">
        <v>1</v>
      </c>
      <c r="P7" s="21">
        <v>1</v>
      </c>
      <c r="Q7" s="21">
        <v>1</v>
      </c>
      <c r="R7" s="21">
        <v>1</v>
      </c>
      <c r="S7" s="21">
        <v>1</v>
      </c>
      <c r="T7" s="21">
        <v>1</v>
      </c>
      <c r="U7" s="21">
        <v>1</v>
      </c>
      <c r="V7" s="21">
        <v>1</v>
      </c>
      <c r="W7" s="21">
        <v>1</v>
      </c>
      <c r="X7" s="21">
        <v>1</v>
      </c>
      <c r="Y7" s="21">
        <v>1</v>
      </c>
      <c r="Z7" s="21">
        <v>1</v>
      </c>
      <c r="AA7" s="21">
        <v>1</v>
      </c>
      <c r="AB7" s="21">
        <v>1</v>
      </c>
      <c r="AC7" s="21">
        <v>1</v>
      </c>
      <c r="AD7" s="21">
        <v>1</v>
      </c>
      <c r="AE7" s="21">
        <v>1</v>
      </c>
      <c r="AF7" s="21">
        <v>1</v>
      </c>
    </row>
    <row r="8" spans="2:32" x14ac:dyDescent="0.35">
      <c r="B8" s="25" t="s">
        <v>560</v>
      </c>
      <c r="C8" s="26" t="s">
        <v>444</v>
      </c>
      <c r="D8" s="21">
        <v>1</v>
      </c>
      <c r="E8" s="21">
        <v>1</v>
      </c>
      <c r="F8" s="21">
        <v>0.5</v>
      </c>
      <c r="G8" s="21">
        <v>0.5</v>
      </c>
      <c r="H8" s="21">
        <v>0.5</v>
      </c>
      <c r="I8" s="21">
        <v>1</v>
      </c>
      <c r="J8" s="21">
        <v>1</v>
      </c>
      <c r="K8" s="21">
        <v>1</v>
      </c>
      <c r="L8" s="21">
        <v>1</v>
      </c>
      <c r="M8" s="21">
        <v>1</v>
      </c>
      <c r="N8" s="21">
        <v>1</v>
      </c>
      <c r="O8" s="21">
        <v>1</v>
      </c>
      <c r="P8" s="21">
        <v>1</v>
      </c>
      <c r="Q8" s="21">
        <v>1</v>
      </c>
      <c r="R8" s="21">
        <v>1</v>
      </c>
      <c r="S8" s="21">
        <v>1</v>
      </c>
      <c r="T8" s="21">
        <v>1</v>
      </c>
      <c r="U8" s="21">
        <v>1</v>
      </c>
      <c r="V8" s="21">
        <v>1</v>
      </c>
      <c r="W8" s="21">
        <v>1</v>
      </c>
      <c r="X8" s="21">
        <v>1</v>
      </c>
      <c r="Y8" s="21">
        <v>1</v>
      </c>
      <c r="Z8" s="21">
        <v>1</v>
      </c>
      <c r="AA8" s="21">
        <v>1</v>
      </c>
      <c r="AB8" s="21">
        <v>1</v>
      </c>
      <c r="AC8" s="21">
        <v>1</v>
      </c>
      <c r="AD8" s="21">
        <v>1</v>
      </c>
      <c r="AE8" s="21">
        <v>1</v>
      </c>
      <c r="AF8" s="21">
        <v>1</v>
      </c>
    </row>
    <row r="9" spans="2:32" x14ac:dyDescent="0.35">
      <c r="B9" s="25" t="s">
        <v>560</v>
      </c>
      <c r="C9" s="26" t="s">
        <v>446</v>
      </c>
      <c r="D9" s="21">
        <v>1</v>
      </c>
      <c r="E9" s="21">
        <v>1</v>
      </c>
      <c r="F9" s="21">
        <v>0.5</v>
      </c>
      <c r="G9" s="21">
        <v>0.5</v>
      </c>
      <c r="H9" s="21">
        <v>0.5</v>
      </c>
      <c r="I9" s="21">
        <v>1</v>
      </c>
      <c r="J9" s="21">
        <v>1</v>
      </c>
      <c r="K9" s="21">
        <v>1</v>
      </c>
      <c r="L9" s="21">
        <v>1</v>
      </c>
      <c r="M9" s="21">
        <v>1</v>
      </c>
      <c r="N9" s="21">
        <v>1</v>
      </c>
      <c r="O9" s="21">
        <v>1</v>
      </c>
      <c r="P9" s="21">
        <v>1</v>
      </c>
      <c r="Q9" s="21">
        <v>1</v>
      </c>
      <c r="R9" s="21">
        <v>1</v>
      </c>
      <c r="S9" s="21">
        <v>1</v>
      </c>
      <c r="T9" s="21">
        <v>1</v>
      </c>
      <c r="U9" s="21">
        <v>1</v>
      </c>
      <c r="V9" s="21">
        <v>1</v>
      </c>
      <c r="W9" s="21">
        <v>1</v>
      </c>
      <c r="X9" s="21">
        <v>1</v>
      </c>
      <c r="Y9" s="21">
        <v>1</v>
      </c>
      <c r="Z9" s="21">
        <v>1</v>
      </c>
      <c r="AA9" s="21">
        <v>1</v>
      </c>
      <c r="AB9" s="21">
        <v>1</v>
      </c>
      <c r="AC9" s="21">
        <v>1</v>
      </c>
      <c r="AD9" s="21">
        <v>1</v>
      </c>
      <c r="AE9" s="21">
        <v>1</v>
      </c>
      <c r="AF9" s="21">
        <v>1</v>
      </c>
    </row>
    <row r="10" spans="2:32" x14ac:dyDescent="0.35">
      <c r="B10" s="25" t="s">
        <v>560</v>
      </c>
      <c r="C10" s="26" t="s">
        <v>448</v>
      </c>
      <c r="D10" s="21">
        <v>1</v>
      </c>
      <c r="E10" s="21">
        <v>1</v>
      </c>
      <c r="F10" s="21">
        <v>0.5</v>
      </c>
      <c r="G10" s="21">
        <v>0.5</v>
      </c>
      <c r="H10" s="21">
        <v>0.5</v>
      </c>
      <c r="I10" s="21">
        <v>1</v>
      </c>
      <c r="J10" s="21">
        <v>1</v>
      </c>
      <c r="K10" s="21">
        <v>1</v>
      </c>
      <c r="L10" s="21">
        <v>1</v>
      </c>
      <c r="M10" s="21">
        <v>1</v>
      </c>
      <c r="N10" s="21">
        <v>1</v>
      </c>
      <c r="O10" s="21">
        <v>1</v>
      </c>
      <c r="P10" s="21">
        <v>1</v>
      </c>
      <c r="Q10" s="21">
        <v>1</v>
      </c>
      <c r="R10" s="21">
        <v>1</v>
      </c>
      <c r="S10" s="21">
        <v>1</v>
      </c>
      <c r="T10" s="21">
        <v>1</v>
      </c>
      <c r="U10" s="21">
        <v>1</v>
      </c>
      <c r="V10" s="21">
        <v>1</v>
      </c>
      <c r="W10" s="21">
        <v>1</v>
      </c>
      <c r="X10" s="21">
        <v>1</v>
      </c>
      <c r="Y10" s="21">
        <v>1</v>
      </c>
      <c r="Z10" s="21">
        <v>1</v>
      </c>
      <c r="AA10" s="21">
        <v>1</v>
      </c>
      <c r="AB10" s="21">
        <v>1</v>
      </c>
      <c r="AC10" s="21">
        <v>1</v>
      </c>
      <c r="AD10" s="21">
        <v>1</v>
      </c>
      <c r="AE10" s="21">
        <v>1</v>
      </c>
      <c r="AF10" s="21">
        <v>1</v>
      </c>
    </row>
    <row r="11" spans="2:32" x14ac:dyDescent="0.35">
      <c r="B11" s="25" t="s">
        <v>560</v>
      </c>
      <c r="C11" s="26" t="s">
        <v>449</v>
      </c>
      <c r="D11" s="21">
        <v>1</v>
      </c>
      <c r="E11" s="21">
        <v>1</v>
      </c>
      <c r="F11" s="21">
        <v>0.5</v>
      </c>
      <c r="G11" s="21">
        <v>0.5</v>
      </c>
      <c r="H11" s="21">
        <v>0.5</v>
      </c>
      <c r="I11" s="21">
        <v>1</v>
      </c>
      <c r="J11" s="21">
        <v>1</v>
      </c>
      <c r="K11" s="21">
        <v>1</v>
      </c>
      <c r="L11" s="21">
        <v>1</v>
      </c>
      <c r="M11" s="21">
        <v>1</v>
      </c>
      <c r="N11" s="21">
        <v>1</v>
      </c>
      <c r="O11" s="21">
        <v>1</v>
      </c>
      <c r="P11" s="21">
        <v>1</v>
      </c>
      <c r="Q11" s="21">
        <v>1</v>
      </c>
      <c r="R11" s="21">
        <v>1</v>
      </c>
      <c r="S11" s="21">
        <v>1</v>
      </c>
      <c r="T11" s="21">
        <v>1</v>
      </c>
      <c r="U11" s="21">
        <v>1</v>
      </c>
      <c r="V11" s="21">
        <v>1</v>
      </c>
      <c r="W11" s="21">
        <v>1</v>
      </c>
      <c r="X11" s="21">
        <v>1</v>
      </c>
      <c r="Y11" s="21">
        <v>1</v>
      </c>
      <c r="Z11" s="21">
        <v>1</v>
      </c>
      <c r="AA11" s="21">
        <v>1</v>
      </c>
      <c r="AB11" s="21">
        <v>1</v>
      </c>
      <c r="AC11" s="21">
        <v>1</v>
      </c>
      <c r="AD11" s="21">
        <v>1</v>
      </c>
      <c r="AE11" s="21">
        <v>1</v>
      </c>
      <c r="AF11" s="21">
        <v>1</v>
      </c>
    </row>
    <row r="12" spans="2:32" x14ac:dyDescent="0.35">
      <c r="B12" s="25" t="s">
        <v>560</v>
      </c>
      <c r="C12" s="26" t="s">
        <v>452</v>
      </c>
      <c r="D12" s="21">
        <v>1</v>
      </c>
      <c r="E12" s="21">
        <v>1</v>
      </c>
      <c r="F12" s="21">
        <v>0.5</v>
      </c>
      <c r="G12" s="21">
        <v>0.5</v>
      </c>
      <c r="H12" s="21">
        <v>0.5</v>
      </c>
      <c r="I12" s="21">
        <v>1</v>
      </c>
      <c r="J12" s="21">
        <v>1</v>
      </c>
      <c r="K12" s="21">
        <v>1</v>
      </c>
      <c r="L12" s="21">
        <v>1</v>
      </c>
      <c r="M12" s="21">
        <v>1</v>
      </c>
      <c r="N12" s="21">
        <v>1</v>
      </c>
      <c r="O12" s="21">
        <v>1</v>
      </c>
      <c r="P12" s="21">
        <v>1</v>
      </c>
      <c r="Q12" s="21">
        <v>1</v>
      </c>
      <c r="R12" s="21">
        <v>1</v>
      </c>
      <c r="S12" s="21">
        <v>1</v>
      </c>
      <c r="T12" s="21">
        <v>1</v>
      </c>
      <c r="U12" s="21">
        <v>1</v>
      </c>
      <c r="V12" s="21">
        <v>1</v>
      </c>
      <c r="W12" s="21">
        <v>1</v>
      </c>
      <c r="X12" s="21">
        <v>1</v>
      </c>
      <c r="Y12" s="21">
        <v>1</v>
      </c>
      <c r="Z12" s="21">
        <v>1</v>
      </c>
      <c r="AA12" s="21">
        <v>1</v>
      </c>
      <c r="AB12" s="21">
        <v>1</v>
      </c>
      <c r="AC12" s="21">
        <v>1</v>
      </c>
      <c r="AD12" s="21">
        <v>1</v>
      </c>
      <c r="AE12" s="21">
        <v>1</v>
      </c>
      <c r="AF12" s="21">
        <v>1</v>
      </c>
    </row>
    <row r="13" spans="2:32" x14ac:dyDescent="0.35">
      <c r="B13" s="25" t="s">
        <v>560</v>
      </c>
      <c r="C13" s="26" t="s">
        <v>454</v>
      </c>
      <c r="D13" s="21">
        <v>1</v>
      </c>
      <c r="E13" s="21">
        <v>1</v>
      </c>
      <c r="F13" s="21">
        <v>0.5</v>
      </c>
      <c r="G13" s="21">
        <v>0.5</v>
      </c>
      <c r="H13" s="21">
        <v>0.5</v>
      </c>
      <c r="I13" s="21">
        <v>1</v>
      </c>
      <c r="J13" s="21">
        <v>1</v>
      </c>
      <c r="K13" s="21">
        <v>1</v>
      </c>
      <c r="L13" s="21">
        <v>1</v>
      </c>
      <c r="M13" s="21">
        <v>1</v>
      </c>
      <c r="N13" s="21">
        <v>1</v>
      </c>
      <c r="O13" s="21">
        <v>1</v>
      </c>
      <c r="P13" s="21">
        <v>1</v>
      </c>
      <c r="Q13" s="21">
        <v>1</v>
      </c>
      <c r="R13" s="21">
        <v>1</v>
      </c>
      <c r="S13" s="21">
        <v>1</v>
      </c>
      <c r="T13" s="21">
        <v>1</v>
      </c>
      <c r="U13" s="21">
        <v>1</v>
      </c>
      <c r="V13" s="21">
        <v>1</v>
      </c>
      <c r="W13" s="21">
        <v>1</v>
      </c>
      <c r="X13" s="21">
        <v>1</v>
      </c>
      <c r="Y13" s="21">
        <v>1</v>
      </c>
      <c r="Z13" s="21">
        <v>1</v>
      </c>
      <c r="AA13" s="21">
        <v>1</v>
      </c>
      <c r="AB13" s="21">
        <v>1</v>
      </c>
      <c r="AC13" s="21">
        <v>1</v>
      </c>
      <c r="AD13" s="21">
        <v>1</v>
      </c>
      <c r="AE13" s="21">
        <v>1</v>
      </c>
      <c r="AF13" s="21">
        <v>1</v>
      </c>
    </row>
    <row r="14" spans="2:32" x14ac:dyDescent="0.35">
      <c r="B14" s="25" t="s">
        <v>560</v>
      </c>
      <c r="C14" s="26" t="s">
        <v>455</v>
      </c>
      <c r="D14" s="21">
        <v>1</v>
      </c>
      <c r="E14" s="21">
        <v>1</v>
      </c>
      <c r="F14" s="21">
        <v>0.5</v>
      </c>
      <c r="G14" s="21">
        <v>0.5</v>
      </c>
      <c r="H14" s="21">
        <v>0.5</v>
      </c>
      <c r="I14" s="21">
        <v>1</v>
      </c>
      <c r="J14" s="21">
        <v>1</v>
      </c>
      <c r="K14" s="21">
        <v>1</v>
      </c>
      <c r="L14" s="21">
        <v>1</v>
      </c>
      <c r="M14" s="21">
        <v>1</v>
      </c>
      <c r="N14" s="21">
        <v>1</v>
      </c>
      <c r="O14" s="21">
        <v>1</v>
      </c>
      <c r="P14" s="21">
        <v>1</v>
      </c>
      <c r="Q14" s="21">
        <v>1</v>
      </c>
      <c r="R14" s="21">
        <v>1</v>
      </c>
      <c r="S14" s="21">
        <v>1</v>
      </c>
      <c r="T14" s="21">
        <v>1</v>
      </c>
      <c r="U14" s="21">
        <v>1</v>
      </c>
      <c r="V14" s="21">
        <v>1</v>
      </c>
      <c r="W14" s="21">
        <v>1</v>
      </c>
      <c r="X14" s="21">
        <v>1</v>
      </c>
      <c r="Y14" s="21">
        <v>1</v>
      </c>
      <c r="Z14" s="21">
        <v>1</v>
      </c>
      <c r="AA14" s="21">
        <v>1</v>
      </c>
      <c r="AB14" s="21">
        <v>1</v>
      </c>
      <c r="AC14" s="21">
        <v>1</v>
      </c>
      <c r="AD14" s="21">
        <v>1</v>
      </c>
      <c r="AE14" s="21">
        <v>1</v>
      </c>
      <c r="AF14" s="21">
        <v>1</v>
      </c>
    </row>
    <row r="15" spans="2:32" x14ac:dyDescent="0.35">
      <c r="B15" s="25" t="s">
        <v>560</v>
      </c>
      <c r="C15" s="26" t="s">
        <v>463</v>
      </c>
      <c r="D15" s="21">
        <v>1</v>
      </c>
      <c r="E15" s="21">
        <v>1</v>
      </c>
      <c r="F15" s="21">
        <v>0.5</v>
      </c>
      <c r="G15" s="21">
        <v>0.5</v>
      </c>
      <c r="H15" s="21">
        <v>0.5</v>
      </c>
      <c r="I15" s="21">
        <v>1</v>
      </c>
      <c r="J15" s="21">
        <v>1</v>
      </c>
      <c r="K15" s="21">
        <v>1</v>
      </c>
      <c r="L15" s="21">
        <v>1</v>
      </c>
      <c r="M15" s="21">
        <v>1</v>
      </c>
      <c r="N15" s="21">
        <v>1</v>
      </c>
      <c r="O15" s="21">
        <v>1</v>
      </c>
      <c r="P15" s="21">
        <v>1</v>
      </c>
      <c r="Q15" s="21">
        <v>1</v>
      </c>
      <c r="R15" s="21">
        <v>1</v>
      </c>
      <c r="S15" s="21">
        <v>1</v>
      </c>
      <c r="T15" s="21">
        <v>1</v>
      </c>
      <c r="U15" s="21">
        <v>1</v>
      </c>
      <c r="V15" s="21">
        <v>1</v>
      </c>
      <c r="W15" s="21">
        <v>1</v>
      </c>
      <c r="X15" s="21">
        <v>1</v>
      </c>
      <c r="Y15" s="21">
        <v>1</v>
      </c>
      <c r="Z15" s="21">
        <v>1</v>
      </c>
      <c r="AA15" s="21">
        <v>1</v>
      </c>
      <c r="AB15" s="21">
        <v>1</v>
      </c>
      <c r="AC15" s="21">
        <v>1</v>
      </c>
      <c r="AD15" s="21">
        <v>1</v>
      </c>
      <c r="AE15" s="21">
        <v>1</v>
      </c>
      <c r="AF15" s="21">
        <v>1</v>
      </c>
    </row>
    <row r="16" spans="2:32" x14ac:dyDescent="0.35">
      <c r="B16" s="25" t="s">
        <v>560</v>
      </c>
      <c r="C16" s="26" t="s">
        <v>465</v>
      </c>
      <c r="D16" s="21">
        <v>1</v>
      </c>
      <c r="E16" s="21">
        <v>1</v>
      </c>
      <c r="F16" s="21">
        <v>0.5</v>
      </c>
      <c r="G16" s="21">
        <v>0.5</v>
      </c>
      <c r="H16" s="21">
        <v>0.5</v>
      </c>
      <c r="I16" s="21">
        <v>1</v>
      </c>
      <c r="J16" s="21">
        <v>1</v>
      </c>
      <c r="K16" s="21">
        <v>1</v>
      </c>
      <c r="L16" s="21">
        <v>1</v>
      </c>
      <c r="M16" s="21">
        <v>1</v>
      </c>
      <c r="N16" s="21">
        <v>1</v>
      </c>
      <c r="O16" s="21">
        <v>1</v>
      </c>
      <c r="P16" s="21">
        <v>1</v>
      </c>
      <c r="Q16" s="21">
        <v>1</v>
      </c>
      <c r="R16" s="21">
        <v>1</v>
      </c>
      <c r="S16" s="21">
        <v>1</v>
      </c>
      <c r="T16" s="21">
        <v>1</v>
      </c>
      <c r="U16" s="21">
        <v>1</v>
      </c>
      <c r="V16" s="21">
        <v>1</v>
      </c>
      <c r="W16" s="21">
        <v>1</v>
      </c>
      <c r="X16" s="21">
        <v>1</v>
      </c>
      <c r="Y16" s="21">
        <v>1</v>
      </c>
      <c r="Z16" s="21">
        <v>1</v>
      </c>
      <c r="AA16" s="21">
        <v>1</v>
      </c>
      <c r="AB16" s="21">
        <v>1</v>
      </c>
      <c r="AC16" s="21">
        <v>1</v>
      </c>
      <c r="AD16" s="21">
        <v>1</v>
      </c>
      <c r="AE16" s="21">
        <v>1</v>
      </c>
      <c r="AF16" s="21">
        <v>1</v>
      </c>
    </row>
    <row r="17" spans="2:32" x14ac:dyDescent="0.35">
      <c r="B17" s="25" t="s">
        <v>560</v>
      </c>
      <c r="C17" s="26" t="s">
        <v>464</v>
      </c>
      <c r="D17" s="21">
        <v>1</v>
      </c>
      <c r="E17" s="21">
        <v>1</v>
      </c>
      <c r="F17" s="21">
        <v>0.5</v>
      </c>
      <c r="G17" s="21">
        <v>0.5</v>
      </c>
      <c r="H17" s="21">
        <v>0.5</v>
      </c>
      <c r="I17" s="21">
        <v>1</v>
      </c>
      <c r="J17" s="21">
        <v>1</v>
      </c>
      <c r="K17" s="21">
        <v>1</v>
      </c>
      <c r="L17" s="21">
        <v>1</v>
      </c>
      <c r="M17" s="21">
        <v>1</v>
      </c>
      <c r="N17" s="21">
        <v>1</v>
      </c>
      <c r="O17" s="21">
        <v>1</v>
      </c>
      <c r="P17" s="21">
        <v>1</v>
      </c>
      <c r="Q17" s="21">
        <v>1</v>
      </c>
      <c r="R17" s="21">
        <v>1</v>
      </c>
      <c r="S17" s="21">
        <v>1</v>
      </c>
      <c r="T17" s="21">
        <v>1</v>
      </c>
      <c r="U17" s="21">
        <v>1</v>
      </c>
      <c r="V17" s="21">
        <v>1</v>
      </c>
      <c r="W17" s="21">
        <v>1</v>
      </c>
      <c r="X17" s="21">
        <v>1</v>
      </c>
      <c r="Y17" s="21">
        <v>1</v>
      </c>
      <c r="Z17" s="21">
        <v>1</v>
      </c>
      <c r="AA17" s="21">
        <v>1</v>
      </c>
      <c r="AB17" s="21">
        <v>1</v>
      </c>
      <c r="AC17" s="21">
        <v>1</v>
      </c>
      <c r="AD17" s="21">
        <v>1</v>
      </c>
      <c r="AE17" s="21">
        <v>1</v>
      </c>
      <c r="AF17" s="21">
        <v>1</v>
      </c>
    </row>
    <row r="18" spans="2:32" x14ac:dyDescent="0.35">
      <c r="B18" s="25" t="s">
        <v>560</v>
      </c>
      <c r="C18" s="26" t="s">
        <v>466</v>
      </c>
      <c r="D18" s="21">
        <v>1</v>
      </c>
      <c r="E18" s="21">
        <v>1</v>
      </c>
      <c r="F18" s="21">
        <v>0.5</v>
      </c>
      <c r="G18" s="21">
        <v>0.5</v>
      </c>
      <c r="H18" s="21">
        <v>0.5</v>
      </c>
      <c r="I18" s="21">
        <v>1</v>
      </c>
      <c r="J18" s="21">
        <v>1</v>
      </c>
      <c r="K18" s="21">
        <v>1</v>
      </c>
      <c r="L18" s="21">
        <v>1</v>
      </c>
      <c r="M18" s="21">
        <v>1</v>
      </c>
      <c r="N18" s="21">
        <v>1</v>
      </c>
      <c r="O18" s="21">
        <v>1</v>
      </c>
      <c r="P18" s="21">
        <v>1</v>
      </c>
      <c r="Q18" s="21">
        <v>1</v>
      </c>
      <c r="R18" s="21">
        <v>1</v>
      </c>
      <c r="S18" s="21">
        <v>1</v>
      </c>
      <c r="T18" s="21">
        <v>1</v>
      </c>
      <c r="U18" s="21">
        <v>1</v>
      </c>
      <c r="V18" s="21">
        <v>1</v>
      </c>
      <c r="W18" s="21">
        <v>1</v>
      </c>
      <c r="X18" s="21">
        <v>1</v>
      </c>
      <c r="Y18" s="21">
        <v>1</v>
      </c>
      <c r="Z18" s="21">
        <v>1</v>
      </c>
      <c r="AA18" s="21">
        <v>1</v>
      </c>
      <c r="AB18" s="21">
        <v>1</v>
      </c>
      <c r="AC18" s="21">
        <v>1</v>
      </c>
      <c r="AD18" s="21">
        <v>1</v>
      </c>
      <c r="AE18" s="21">
        <v>1</v>
      </c>
      <c r="AF18" s="21">
        <v>1</v>
      </c>
    </row>
    <row r="19" spans="2:32" x14ac:dyDescent="0.35">
      <c r="B19" s="25" t="s">
        <v>560</v>
      </c>
      <c r="C19" s="26" t="s">
        <v>467</v>
      </c>
      <c r="D19" s="21">
        <v>1</v>
      </c>
      <c r="E19" s="21">
        <v>1</v>
      </c>
      <c r="F19" s="21">
        <v>0.5</v>
      </c>
      <c r="G19" s="21">
        <v>0.5</v>
      </c>
      <c r="H19" s="21">
        <v>0.5</v>
      </c>
      <c r="I19" s="21">
        <v>1</v>
      </c>
      <c r="J19" s="21">
        <v>1</v>
      </c>
      <c r="K19" s="21">
        <v>1</v>
      </c>
      <c r="L19" s="21">
        <v>1</v>
      </c>
      <c r="M19" s="21">
        <v>1</v>
      </c>
      <c r="N19" s="21">
        <v>1</v>
      </c>
      <c r="O19" s="21">
        <v>1</v>
      </c>
      <c r="P19" s="21">
        <v>1</v>
      </c>
      <c r="Q19" s="21">
        <v>1</v>
      </c>
      <c r="R19" s="21">
        <v>1</v>
      </c>
      <c r="S19" s="21">
        <v>1</v>
      </c>
      <c r="T19" s="21">
        <v>1</v>
      </c>
      <c r="U19" s="21">
        <v>1</v>
      </c>
      <c r="V19" s="21">
        <v>1</v>
      </c>
      <c r="W19" s="21">
        <v>1</v>
      </c>
      <c r="X19" s="21">
        <v>1</v>
      </c>
      <c r="Y19" s="21">
        <v>1</v>
      </c>
      <c r="Z19" s="21">
        <v>1</v>
      </c>
      <c r="AA19" s="21">
        <v>1</v>
      </c>
      <c r="AB19" s="21">
        <v>1</v>
      </c>
      <c r="AC19" s="21">
        <v>1</v>
      </c>
      <c r="AD19" s="21">
        <v>1</v>
      </c>
      <c r="AE19" s="21">
        <v>1</v>
      </c>
      <c r="AF19" s="21">
        <v>1</v>
      </c>
    </row>
    <row r="20" spans="2:32" x14ac:dyDescent="0.35">
      <c r="B20" s="25" t="s">
        <v>560</v>
      </c>
      <c r="C20" s="26" t="s">
        <v>468</v>
      </c>
      <c r="D20" s="21">
        <v>1</v>
      </c>
      <c r="E20" s="21">
        <v>1</v>
      </c>
      <c r="F20" s="21">
        <v>0.5</v>
      </c>
      <c r="G20" s="21">
        <v>0.5</v>
      </c>
      <c r="H20" s="21">
        <v>0.5</v>
      </c>
      <c r="I20" s="21">
        <v>1</v>
      </c>
      <c r="J20" s="21">
        <v>1</v>
      </c>
      <c r="K20" s="21">
        <v>1</v>
      </c>
      <c r="L20" s="21">
        <v>1</v>
      </c>
      <c r="M20" s="21">
        <v>1</v>
      </c>
      <c r="N20" s="21">
        <v>1</v>
      </c>
      <c r="O20" s="21">
        <v>1</v>
      </c>
      <c r="P20" s="21">
        <v>1</v>
      </c>
      <c r="Q20" s="21">
        <v>1</v>
      </c>
      <c r="R20" s="21">
        <v>1</v>
      </c>
      <c r="S20" s="21">
        <v>1</v>
      </c>
      <c r="T20" s="21">
        <v>1</v>
      </c>
      <c r="U20" s="21">
        <v>1</v>
      </c>
      <c r="V20" s="21">
        <v>1</v>
      </c>
      <c r="W20" s="21">
        <v>1</v>
      </c>
      <c r="X20" s="21">
        <v>1</v>
      </c>
      <c r="Y20" s="21">
        <v>1</v>
      </c>
      <c r="Z20" s="21">
        <v>1</v>
      </c>
      <c r="AA20" s="21">
        <v>1</v>
      </c>
      <c r="AB20" s="21">
        <v>1</v>
      </c>
      <c r="AC20" s="21">
        <v>1</v>
      </c>
      <c r="AD20" s="21">
        <v>1</v>
      </c>
      <c r="AE20" s="21">
        <v>1</v>
      </c>
      <c r="AF20" s="21">
        <v>1</v>
      </c>
    </row>
    <row r="21" spans="2:32" x14ac:dyDescent="0.35">
      <c r="B21" s="25" t="s">
        <v>560</v>
      </c>
      <c r="C21" s="26" t="s">
        <v>470</v>
      </c>
      <c r="D21" s="21">
        <v>1</v>
      </c>
      <c r="E21" s="21">
        <v>1</v>
      </c>
      <c r="F21" s="21">
        <v>0.5</v>
      </c>
      <c r="G21" s="21">
        <v>0.5</v>
      </c>
      <c r="H21" s="21">
        <v>0.5</v>
      </c>
      <c r="I21" s="21">
        <v>1</v>
      </c>
      <c r="J21" s="21">
        <v>1</v>
      </c>
      <c r="K21" s="21">
        <v>1</v>
      </c>
      <c r="L21" s="21">
        <v>1</v>
      </c>
      <c r="M21" s="21">
        <v>1</v>
      </c>
      <c r="N21" s="21">
        <v>1</v>
      </c>
      <c r="O21" s="21">
        <v>1</v>
      </c>
      <c r="P21" s="21">
        <v>1</v>
      </c>
      <c r="Q21" s="21">
        <v>1</v>
      </c>
      <c r="R21" s="21">
        <v>1</v>
      </c>
      <c r="S21" s="21">
        <v>1</v>
      </c>
      <c r="T21" s="21">
        <v>1</v>
      </c>
      <c r="U21" s="21">
        <v>1</v>
      </c>
      <c r="V21" s="21">
        <v>1</v>
      </c>
      <c r="W21" s="21">
        <v>1</v>
      </c>
      <c r="X21" s="21">
        <v>1</v>
      </c>
      <c r="Y21" s="21">
        <v>1</v>
      </c>
      <c r="Z21" s="21">
        <v>1</v>
      </c>
      <c r="AA21" s="21">
        <v>1</v>
      </c>
      <c r="AB21" s="21">
        <v>1</v>
      </c>
      <c r="AC21" s="21">
        <v>1</v>
      </c>
      <c r="AD21" s="21">
        <v>1</v>
      </c>
      <c r="AE21" s="21">
        <v>1</v>
      </c>
      <c r="AF21" s="21">
        <v>1</v>
      </c>
    </row>
    <row r="22" spans="2:32" x14ac:dyDescent="0.35">
      <c r="B22" s="25" t="s">
        <v>560</v>
      </c>
      <c r="C22" s="26" t="s">
        <v>471</v>
      </c>
      <c r="D22" s="21">
        <v>1</v>
      </c>
      <c r="E22" s="21">
        <v>1</v>
      </c>
      <c r="F22" s="21">
        <v>0.5</v>
      </c>
      <c r="G22" s="21">
        <v>0.5</v>
      </c>
      <c r="H22" s="21">
        <v>0.5</v>
      </c>
      <c r="I22" s="21">
        <v>1</v>
      </c>
      <c r="J22" s="21">
        <v>1</v>
      </c>
      <c r="K22" s="21">
        <v>1</v>
      </c>
      <c r="L22" s="21">
        <v>1</v>
      </c>
      <c r="M22" s="21">
        <v>1</v>
      </c>
      <c r="N22" s="21">
        <v>1</v>
      </c>
      <c r="O22" s="21">
        <v>1</v>
      </c>
      <c r="P22" s="21">
        <v>1</v>
      </c>
      <c r="Q22" s="21">
        <v>1</v>
      </c>
      <c r="R22" s="21">
        <v>1</v>
      </c>
      <c r="S22" s="21">
        <v>1</v>
      </c>
      <c r="T22" s="21">
        <v>1</v>
      </c>
      <c r="U22" s="21">
        <v>1</v>
      </c>
      <c r="V22" s="21">
        <v>1</v>
      </c>
      <c r="W22" s="21">
        <v>1</v>
      </c>
      <c r="X22" s="21">
        <v>1</v>
      </c>
      <c r="Y22" s="21">
        <v>1</v>
      </c>
      <c r="Z22" s="21">
        <v>1</v>
      </c>
      <c r="AA22" s="21">
        <v>1</v>
      </c>
      <c r="AB22" s="21">
        <v>1</v>
      </c>
      <c r="AC22" s="21">
        <v>1</v>
      </c>
      <c r="AD22" s="21">
        <v>1</v>
      </c>
      <c r="AE22" s="21">
        <v>1</v>
      </c>
      <c r="AF22" s="21">
        <v>1</v>
      </c>
    </row>
    <row r="23" spans="2:32" x14ac:dyDescent="0.35">
      <c r="B23" s="25" t="s">
        <v>560</v>
      </c>
      <c r="C23" s="26" t="s">
        <v>472</v>
      </c>
      <c r="D23" s="21">
        <v>1</v>
      </c>
      <c r="E23" s="21">
        <v>1</v>
      </c>
      <c r="F23" s="21">
        <v>0.5</v>
      </c>
      <c r="G23" s="21">
        <v>0.5</v>
      </c>
      <c r="H23" s="21">
        <v>0.5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FFA35-7ACC-459D-B16B-1B9338C6952F}">
  <dimension ref="B2:D453"/>
  <sheetViews>
    <sheetView workbookViewId="0">
      <selection activeCell="D2" sqref="D2"/>
    </sheetView>
  </sheetViews>
  <sheetFormatPr defaultRowHeight="14.5" x14ac:dyDescent="0.35"/>
  <cols>
    <col min="2" max="2" width="23.7265625" bestFit="1" customWidth="1"/>
    <col min="3" max="3" width="37.1796875" bestFit="1" customWidth="1"/>
  </cols>
  <sheetData>
    <row r="2" spans="2:4" x14ac:dyDescent="0.35">
      <c r="B2" t="s">
        <v>59</v>
      </c>
      <c r="C2" t="s">
        <v>0</v>
      </c>
      <c r="D2" t="s">
        <v>434</v>
      </c>
    </row>
    <row r="3" spans="2:4" x14ac:dyDescent="0.35">
      <c r="B3" t="s">
        <v>60</v>
      </c>
      <c r="C3" t="s">
        <v>26</v>
      </c>
      <c r="D3" t="s">
        <v>435</v>
      </c>
    </row>
    <row r="4" spans="2:4" x14ac:dyDescent="0.35">
      <c r="B4" t="s">
        <v>61</v>
      </c>
      <c r="C4" t="s">
        <v>25</v>
      </c>
      <c r="D4" t="s">
        <v>435</v>
      </c>
    </row>
    <row r="5" spans="2:4" x14ac:dyDescent="0.35">
      <c r="B5" t="s">
        <v>62</v>
      </c>
      <c r="C5" t="s">
        <v>25</v>
      </c>
      <c r="D5" t="s">
        <v>435</v>
      </c>
    </row>
    <row r="6" spans="2:4" x14ac:dyDescent="0.35">
      <c r="B6" t="s">
        <v>63</v>
      </c>
      <c r="C6" t="s">
        <v>28</v>
      </c>
      <c r="D6" t="s">
        <v>435</v>
      </c>
    </row>
    <row r="7" spans="2:4" x14ac:dyDescent="0.35">
      <c r="B7" t="s">
        <v>64</v>
      </c>
      <c r="C7" t="s">
        <v>27</v>
      </c>
      <c r="D7" t="s">
        <v>435</v>
      </c>
    </row>
    <row r="8" spans="2:4" x14ac:dyDescent="0.35">
      <c r="B8" t="s">
        <v>65</v>
      </c>
      <c r="C8" t="s">
        <v>51</v>
      </c>
      <c r="D8" t="s">
        <v>435</v>
      </c>
    </row>
    <row r="9" spans="2:4" x14ac:dyDescent="0.35">
      <c r="B9" t="s">
        <v>66</v>
      </c>
      <c r="C9" t="s">
        <v>25</v>
      </c>
      <c r="D9" t="s">
        <v>435</v>
      </c>
    </row>
    <row r="10" spans="2:4" x14ac:dyDescent="0.35">
      <c r="B10" t="s">
        <v>67</v>
      </c>
      <c r="C10" t="s">
        <v>28</v>
      </c>
      <c r="D10" t="s">
        <v>435</v>
      </c>
    </row>
    <row r="11" spans="2:4" x14ac:dyDescent="0.35">
      <c r="B11" t="s">
        <v>68</v>
      </c>
      <c r="C11" t="s">
        <v>28</v>
      </c>
      <c r="D11" t="s">
        <v>435</v>
      </c>
    </row>
    <row r="12" spans="2:4" x14ac:dyDescent="0.35">
      <c r="B12" t="s">
        <v>69</v>
      </c>
      <c r="C12" t="s">
        <v>25</v>
      </c>
      <c r="D12" t="s">
        <v>436</v>
      </c>
    </row>
    <row r="13" spans="2:4" x14ac:dyDescent="0.35">
      <c r="B13" t="s">
        <v>70</v>
      </c>
      <c r="C13" t="s">
        <v>27</v>
      </c>
      <c r="D13" t="s">
        <v>436</v>
      </c>
    </row>
    <row r="14" spans="2:4" x14ac:dyDescent="0.35">
      <c r="B14" t="s">
        <v>71</v>
      </c>
      <c r="C14" t="s">
        <v>27</v>
      </c>
      <c r="D14" t="s">
        <v>436</v>
      </c>
    </row>
    <row r="15" spans="2:4" x14ac:dyDescent="0.35">
      <c r="B15" t="s">
        <v>72</v>
      </c>
      <c r="C15" t="s">
        <v>26</v>
      </c>
      <c r="D15" t="s">
        <v>436</v>
      </c>
    </row>
    <row r="16" spans="2:4" x14ac:dyDescent="0.35">
      <c r="B16" t="s">
        <v>73</v>
      </c>
      <c r="C16" t="s">
        <v>25</v>
      </c>
      <c r="D16" t="s">
        <v>436</v>
      </c>
    </row>
    <row r="17" spans="2:4" x14ac:dyDescent="0.35">
      <c r="B17" t="s">
        <v>74</v>
      </c>
      <c r="C17" t="s">
        <v>31</v>
      </c>
      <c r="D17" t="s">
        <v>436</v>
      </c>
    </row>
    <row r="18" spans="2:4" x14ac:dyDescent="0.35">
      <c r="B18" t="s">
        <v>75</v>
      </c>
      <c r="C18" t="s">
        <v>31</v>
      </c>
      <c r="D18" t="s">
        <v>436</v>
      </c>
    </row>
    <row r="19" spans="2:4" x14ac:dyDescent="0.35">
      <c r="B19" t="s">
        <v>76</v>
      </c>
      <c r="C19" t="s">
        <v>28</v>
      </c>
      <c r="D19" t="s">
        <v>436</v>
      </c>
    </row>
    <row r="20" spans="2:4" x14ac:dyDescent="0.35">
      <c r="B20" t="s">
        <v>77</v>
      </c>
      <c r="C20" t="s">
        <v>31</v>
      </c>
      <c r="D20" t="s">
        <v>436</v>
      </c>
    </row>
    <row r="21" spans="2:4" x14ac:dyDescent="0.35">
      <c r="B21" t="s">
        <v>78</v>
      </c>
      <c r="C21" t="s">
        <v>26</v>
      </c>
      <c r="D21" t="s">
        <v>436</v>
      </c>
    </row>
    <row r="22" spans="2:4" x14ac:dyDescent="0.35">
      <c r="B22" t="s">
        <v>79</v>
      </c>
      <c r="C22" t="s">
        <v>27</v>
      </c>
      <c r="D22" t="s">
        <v>436</v>
      </c>
    </row>
    <row r="23" spans="2:4" x14ac:dyDescent="0.35">
      <c r="B23" t="s">
        <v>80</v>
      </c>
      <c r="C23" t="s">
        <v>28</v>
      </c>
      <c r="D23" t="s">
        <v>436</v>
      </c>
    </row>
    <row r="24" spans="2:4" x14ac:dyDescent="0.35">
      <c r="B24" t="s">
        <v>81</v>
      </c>
      <c r="C24" t="s">
        <v>27</v>
      </c>
      <c r="D24" t="s">
        <v>436</v>
      </c>
    </row>
    <row r="25" spans="2:4" x14ac:dyDescent="0.35">
      <c r="B25" t="s">
        <v>82</v>
      </c>
      <c r="C25" t="s">
        <v>27</v>
      </c>
      <c r="D25" t="s">
        <v>436</v>
      </c>
    </row>
    <row r="26" spans="2:4" x14ac:dyDescent="0.35">
      <c r="B26" t="s">
        <v>83</v>
      </c>
      <c r="C26" t="s">
        <v>55</v>
      </c>
      <c r="D26" t="s">
        <v>436</v>
      </c>
    </row>
    <row r="27" spans="2:4" x14ac:dyDescent="0.35">
      <c r="B27" t="s">
        <v>84</v>
      </c>
      <c r="C27" t="s">
        <v>55</v>
      </c>
      <c r="D27" t="s">
        <v>436</v>
      </c>
    </row>
    <row r="28" spans="2:4" x14ac:dyDescent="0.35">
      <c r="B28" t="s">
        <v>85</v>
      </c>
      <c r="C28" t="s">
        <v>28</v>
      </c>
      <c r="D28" t="s">
        <v>436</v>
      </c>
    </row>
    <row r="29" spans="2:4" x14ac:dyDescent="0.35">
      <c r="B29" t="s">
        <v>86</v>
      </c>
      <c r="C29" t="s">
        <v>28</v>
      </c>
      <c r="D29" t="s">
        <v>436</v>
      </c>
    </row>
    <row r="30" spans="2:4" x14ac:dyDescent="0.35">
      <c r="B30" t="s">
        <v>87</v>
      </c>
      <c r="C30" t="s">
        <v>51</v>
      </c>
      <c r="D30" t="s">
        <v>436</v>
      </c>
    </row>
    <row r="31" spans="2:4" x14ac:dyDescent="0.35">
      <c r="B31" t="s">
        <v>88</v>
      </c>
      <c r="C31" t="s">
        <v>51</v>
      </c>
      <c r="D31" t="s">
        <v>436</v>
      </c>
    </row>
    <row r="32" spans="2:4" x14ac:dyDescent="0.35">
      <c r="B32" t="s">
        <v>89</v>
      </c>
      <c r="C32" t="s">
        <v>51</v>
      </c>
      <c r="D32" t="s">
        <v>436</v>
      </c>
    </row>
    <row r="33" spans="2:4" x14ac:dyDescent="0.35">
      <c r="B33" t="s">
        <v>90</v>
      </c>
      <c r="C33" t="s">
        <v>31</v>
      </c>
      <c r="D33" t="s">
        <v>436</v>
      </c>
    </row>
    <row r="34" spans="2:4" x14ac:dyDescent="0.35">
      <c r="B34" t="s">
        <v>91</v>
      </c>
      <c r="C34" t="s">
        <v>31</v>
      </c>
      <c r="D34" t="s">
        <v>436</v>
      </c>
    </row>
    <row r="35" spans="2:4" x14ac:dyDescent="0.35">
      <c r="B35" t="s">
        <v>92</v>
      </c>
      <c r="C35" t="s">
        <v>31</v>
      </c>
      <c r="D35" t="s">
        <v>436</v>
      </c>
    </row>
    <row r="36" spans="2:4" x14ac:dyDescent="0.35">
      <c r="B36" t="s">
        <v>93</v>
      </c>
      <c r="C36" t="s">
        <v>31</v>
      </c>
      <c r="D36" t="s">
        <v>436</v>
      </c>
    </row>
    <row r="37" spans="2:4" x14ac:dyDescent="0.35">
      <c r="B37" t="s">
        <v>94</v>
      </c>
      <c r="C37" t="s">
        <v>55</v>
      </c>
      <c r="D37" t="s">
        <v>436</v>
      </c>
    </row>
    <row r="38" spans="2:4" x14ac:dyDescent="0.35">
      <c r="B38" t="s">
        <v>95</v>
      </c>
      <c r="C38" t="s">
        <v>31</v>
      </c>
      <c r="D38" t="s">
        <v>436</v>
      </c>
    </row>
    <row r="39" spans="2:4" x14ac:dyDescent="0.35">
      <c r="B39" t="s">
        <v>96</v>
      </c>
      <c r="C39" t="s">
        <v>27</v>
      </c>
      <c r="D39" t="s">
        <v>436</v>
      </c>
    </row>
    <row r="40" spans="2:4" x14ac:dyDescent="0.35">
      <c r="B40" t="s">
        <v>97</v>
      </c>
      <c r="C40" t="s">
        <v>31</v>
      </c>
      <c r="D40" t="s">
        <v>436</v>
      </c>
    </row>
    <row r="41" spans="2:4" x14ac:dyDescent="0.35">
      <c r="B41" t="s">
        <v>98</v>
      </c>
      <c r="C41" t="s">
        <v>28</v>
      </c>
      <c r="D41" t="s">
        <v>436</v>
      </c>
    </row>
    <row r="42" spans="2:4" x14ac:dyDescent="0.35">
      <c r="B42" t="s">
        <v>99</v>
      </c>
      <c r="C42" t="s">
        <v>25</v>
      </c>
      <c r="D42" t="s">
        <v>436</v>
      </c>
    </row>
    <row r="43" spans="2:4" x14ac:dyDescent="0.35">
      <c r="B43" t="s">
        <v>100</v>
      </c>
      <c r="C43" t="s">
        <v>27</v>
      </c>
      <c r="D43" t="s">
        <v>437</v>
      </c>
    </row>
    <row r="44" spans="2:4" x14ac:dyDescent="0.35">
      <c r="B44" t="s">
        <v>101</v>
      </c>
      <c r="C44" t="s">
        <v>27</v>
      </c>
      <c r="D44" t="s">
        <v>437</v>
      </c>
    </row>
    <row r="45" spans="2:4" x14ac:dyDescent="0.35">
      <c r="B45" t="s">
        <v>102</v>
      </c>
      <c r="C45" t="s">
        <v>27</v>
      </c>
      <c r="D45" t="s">
        <v>437</v>
      </c>
    </row>
    <row r="46" spans="2:4" x14ac:dyDescent="0.35">
      <c r="B46" t="s">
        <v>103</v>
      </c>
      <c r="C46" t="s">
        <v>27</v>
      </c>
      <c r="D46" t="s">
        <v>437</v>
      </c>
    </row>
    <row r="47" spans="2:4" x14ac:dyDescent="0.35">
      <c r="B47" t="s">
        <v>104</v>
      </c>
      <c r="C47" t="s">
        <v>27</v>
      </c>
      <c r="D47" t="s">
        <v>437</v>
      </c>
    </row>
    <row r="48" spans="2:4" x14ac:dyDescent="0.35">
      <c r="B48" t="s">
        <v>105</v>
      </c>
      <c r="C48" t="s">
        <v>27</v>
      </c>
      <c r="D48" t="s">
        <v>438</v>
      </c>
    </row>
    <row r="49" spans="2:4" x14ac:dyDescent="0.35">
      <c r="B49" t="s">
        <v>106</v>
      </c>
      <c r="C49" t="s">
        <v>25</v>
      </c>
      <c r="D49" t="s">
        <v>438</v>
      </c>
    </row>
    <row r="50" spans="2:4" x14ac:dyDescent="0.35">
      <c r="B50" t="s">
        <v>107</v>
      </c>
      <c r="C50" t="s">
        <v>25</v>
      </c>
      <c r="D50" t="s">
        <v>438</v>
      </c>
    </row>
    <row r="51" spans="2:4" x14ac:dyDescent="0.35">
      <c r="B51" t="s">
        <v>108</v>
      </c>
      <c r="C51" t="s">
        <v>27</v>
      </c>
      <c r="D51" t="s">
        <v>438</v>
      </c>
    </row>
    <row r="52" spans="2:4" x14ac:dyDescent="0.35">
      <c r="B52" t="s">
        <v>109</v>
      </c>
      <c r="C52" t="s">
        <v>27</v>
      </c>
      <c r="D52" t="s">
        <v>438</v>
      </c>
    </row>
    <row r="53" spans="2:4" x14ac:dyDescent="0.35">
      <c r="B53" t="s">
        <v>110</v>
      </c>
      <c r="C53" t="s">
        <v>51</v>
      </c>
      <c r="D53" t="s">
        <v>438</v>
      </c>
    </row>
    <row r="54" spans="2:4" x14ac:dyDescent="0.35">
      <c r="B54" t="s">
        <v>111</v>
      </c>
      <c r="C54" t="s">
        <v>51</v>
      </c>
      <c r="D54" t="s">
        <v>438</v>
      </c>
    </row>
    <row r="55" spans="2:4" x14ac:dyDescent="0.35">
      <c r="B55" t="s">
        <v>112</v>
      </c>
      <c r="C55" t="s">
        <v>51</v>
      </c>
      <c r="D55" t="s">
        <v>438</v>
      </c>
    </row>
    <row r="56" spans="2:4" x14ac:dyDescent="0.35">
      <c r="B56" t="s">
        <v>113</v>
      </c>
      <c r="C56" t="s">
        <v>27</v>
      </c>
      <c r="D56" t="s">
        <v>438</v>
      </c>
    </row>
    <row r="57" spans="2:4" x14ac:dyDescent="0.35">
      <c r="B57" t="s">
        <v>114</v>
      </c>
      <c r="C57" t="s">
        <v>25</v>
      </c>
      <c r="D57" t="s">
        <v>439</v>
      </c>
    </row>
    <row r="58" spans="2:4" x14ac:dyDescent="0.35">
      <c r="B58" t="s">
        <v>115</v>
      </c>
      <c r="C58" t="s">
        <v>31</v>
      </c>
      <c r="D58" t="s">
        <v>439</v>
      </c>
    </row>
    <row r="59" spans="2:4" x14ac:dyDescent="0.35">
      <c r="B59" t="s">
        <v>116</v>
      </c>
      <c r="C59" t="s">
        <v>25</v>
      </c>
      <c r="D59" t="s">
        <v>439</v>
      </c>
    </row>
    <row r="60" spans="2:4" x14ac:dyDescent="0.35">
      <c r="B60" t="s">
        <v>117</v>
      </c>
      <c r="C60" t="s">
        <v>27</v>
      </c>
      <c r="D60" t="s">
        <v>439</v>
      </c>
    </row>
    <row r="61" spans="2:4" x14ac:dyDescent="0.35">
      <c r="B61" t="s">
        <v>118</v>
      </c>
      <c r="C61" t="s">
        <v>31</v>
      </c>
      <c r="D61" t="s">
        <v>439</v>
      </c>
    </row>
    <row r="62" spans="2:4" x14ac:dyDescent="0.35">
      <c r="B62" t="s">
        <v>119</v>
      </c>
      <c r="C62" t="s">
        <v>31</v>
      </c>
      <c r="D62" t="s">
        <v>439</v>
      </c>
    </row>
    <row r="63" spans="2:4" x14ac:dyDescent="0.35">
      <c r="B63" t="s">
        <v>120</v>
      </c>
      <c r="C63" t="s">
        <v>27</v>
      </c>
      <c r="D63" t="s">
        <v>440</v>
      </c>
    </row>
    <row r="64" spans="2:4" x14ac:dyDescent="0.35">
      <c r="B64" t="s">
        <v>121</v>
      </c>
      <c r="C64" t="s">
        <v>27</v>
      </c>
      <c r="D64" t="s">
        <v>440</v>
      </c>
    </row>
    <row r="65" spans="2:4" x14ac:dyDescent="0.35">
      <c r="B65" t="s">
        <v>122</v>
      </c>
      <c r="C65" t="s">
        <v>27</v>
      </c>
      <c r="D65" t="s">
        <v>440</v>
      </c>
    </row>
    <row r="66" spans="2:4" x14ac:dyDescent="0.35">
      <c r="B66" t="s">
        <v>123</v>
      </c>
      <c r="C66" t="s">
        <v>27</v>
      </c>
      <c r="D66" t="s">
        <v>440</v>
      </c>
    </row>
    <row r="67" spans="2:4" x14ac:dyDescent="0.35">
      <c r="B67" t="s">
        <v>124</v>
      </c>
      <c r="C67" t="s">
        <v>25</v>
      </c>
      <c r="D67" t="s">
        <v>440</v>
      </c>
    </row>
    <row r="68" spans="2:4" x14ac:dyDescent="0.35">
      <c r="B68" t="s">
        <v>125</v>
      </c>
      <c r="C68" t="s">
        <v>51</v>
      </c>
      <c r="D68" t="s">
        <v>440</v>
      </c>
    </row>
    <row r="69" spans="2:4" x14ac:dyDescent="0.35">
      <c r="B69" t="s">
        <v>126</v>
      </c>
      <c r="C69" t="s">
        <v>27</v>
      </c>
      <c r="D69" t="s">
        <v>440</v>
      </c>
    </row>
    <row r="70" spans="2:4" x14ac:dyDescent="0.35">
      <c r="B70" t="s">
        <v>127</v>
      </c>
      <c r="C70" t="s">
        <v>27</v>
      </c>
      <c r="D70" t="s">
        <v>441</v>
      </c>
    </row>
    <row r="71" spans="2:4" x14ac:dyDescent="0.35">
      <c r="B71" t="s">
        <v>128</v>
      </c>
      <c r="C71" t="s">
        <v>27</v>
      </c>
      <c r="D71" t="s">
        <v>441</v>
      </c>
    </row>
    <row r="72" spans="2:4" x14ac:dyDescent="0.35">
      <c r="B72" t="s">
        <v>129</v>
      </c>
      <c r="C72" t="s">
        <v>27</v>
      </c>
      <c r="D72" t="s">
        <v>441</v>
      </c>
    </row>
    <row r="73" spans="2:4" x14ac:dyDescent="0.35">
      <c r="B73" t="s">
        <v>130</v>
      </c>
      <c r="C73" t="s">
        <v>51</v>
      </c>
      <c r="D73" t="s">
        <v>441</v>
      </c>
    </row>
    <row r="74" spans="2:4" x14ac:dyDescent="0.35">
      <c r="B74" t="s">
        <v>131</v>
      </c>
      <c r="C74" t="s">
        <v>27</v>
      </c>
      <c r="D74" t="s">
        <v>441</v>
      </c>
    </row>
    <row r="75" spans="2:4" x14ac:dyDescent="0.35">
      <c r="B75" t="s">
        <v>132</v>
      </c>
      <c r="C75" t="s">
        <v>27</v>
      </c>
      <c r="D75" t="s">
        <v>441</v>
      </c>
    </row>
    <row r="76" spans="2:4" x14ac:dyDescent="0.35">
      <c r="B76" t="s">
        <v>133</v>
      </c>
      <c r="C76" t="s">
        <v>27</v>
      </c>
      <c r="D76" t="s">
        <v>441</v>
      </c>
    </row>
    <row r="77" spans="2:4" x14ac:dyDescent="0.35">
      <c r="B77" t="s">
        <v>134</v>
      </c>
      <c r="C77" t="s">
        <v>27</v>
      </c>
      <c r="D77" t="s">
        <v>441</v>
      </c>
    </row>
    <row r="78" spans="2:4" x14ac:dyDescent="0.35">
      <c r="B78" t="s">
        <v>135</v>
      </c>
      <c r="C78" t="s">
        <v>27</v>
      </c>
      <c r="D78" t="s">
        <v>441</v>
      </c>
    </row>
    <row r="79" spans="2:4" x14ac:dyDescent="0.35">
      <c r="B79" t="s">
        <v>136</v>
      </c>
      <c r="C79" t="s">
        <v>27</v>
      </c>
      <c r="D79" t="s">
        <v>442</v>
      </c>
    </row>
    <row r="80" spans="2:4" x14ac:dyDescent="0.35">
      <c r="B80" t="s">
        <v>137</v>
      </c>
      <c r="C80" t="s">
        <v>27</v>
      </c>
      <c r="D80" t="s">
        <v>442</v>
      </c>
    </row>
    <row r="81" spans="2:4" x14ac:dyDescent="0.35">
      <c r="B81" t="s">
        <v>138</v>
      </c>
      <c r="C81" t="s">
        <v>27</v>
      </c>
      <c r="D81" t="s">
        <v>442</v>
      </c>
    </row>
    <row r="82" spans="2:4" x14ac:dyDescent="0.35">
      <c r="B82" t="s">
        <v>139</v>
      </c>
      <c r="C82" t="s">
        <v>27</v>
      </c>
      <c r="D82" t="s">
        <v>442</v>
      </c>
    </row>
    <row r="83" spans="2:4" x14ac:dyDescent="0.35">
      <c r="B83" t="s">
        <v>140</v>
      </c>
      <c r="C83" t="s">
        <v>27</v>
      </c>
      <c r="D83" t="s">
        <v>442</v>
      </c>
    </row>
    <row r="84" spans="2:4" x14ac:dyDescent="0.35">
      <c r="B84" t="s">
        <v>141</v>
      </c>
      <c r="C84" t="s">
        <v>27</v>
      </c>
      <c r="D84" t="s">
        <v>442</v>
      </c>
    </row>
    <row r="85" spans="2:4" x14ac:dyDescent="0.35">
      <c r="B85" t="s">
        <v>142</v>
      </c>
      <c r="C85" t="s">
        <v>27</v>
      </c>
      <c r="D85" t="s">
        <v>442</v>
      </c>
    </row>
    <row r="86" spans="2:4" x14ac:dyDescent="0.35">
      <c r="B86" t="s">
        <v>143</v>
      </c>
      <c r="C86" t="s">
        <v>25</v>
      </c>
      <c r="D86" t="s">
        <v>443</v>
      </c>
    </row>
    <row r="87" spans="2:4" x14ac:dyDescent="0.35">
      <c r="B87" t="s">
        <v>144</v>
      </c>
      <c r="C87" t="s">
        <v>25</v>
      </c>
      <c r="D87" t="s">
        <v>443</v>
      </c>
    </row>
    <row r="88" spans="2:4" x14ac:dyDescent="0.35">
      <c r="B88" t="s">
        <v>145</v>
      </c>
      <c r="C88" t="s">
        <v>27</v>
      </c>
      <c r="D88" t="s">
        <v>443</v>
      </c>
    </row>
    <row r="89" spans="2:4" x14ac:dyDescent="0.35">
      <c r="B89" t="s">
        <v>146</v>
      </c>
      <c r="C89" t="s">
        <v>27</v>
      </c>
      <c r="D89" t="s">
        <v>443</v>
      </c>
    </row>
    <row r="90" spans="2:4" x14ac:dyDescent="0.35">
      <c r="B90" t="s">
        <v>147</v>
      </c>
      <c r="C90" t="s">
        <v>27</v>
      </c>
      <c r="D90" t="s">
        <v>443</v>
      </c>
    </row>
    <row r="91" spans="2:4" x14ac:dyDescent="0.35">
      <c r="B91" t="s">
        <v>148</v>
      </c>
      <c r="C91" t="s">
        <v>55</v>
      </c>
      <c r="D91" t="s">
        <v>443</v>
      </c>
    </row>
    <row r="92" spans="2:4" x14ac:dyDescent="0.35">
      <c r="B92" t="s">
        <v>149</v>
      </c>
      <c r="C92" t="s">
        <v>27</v>
      </c>
      <c r="D92" t="s">
        <v>444</v>
      </c>
    </row>
    <row r="93" spans="2:4" x14ac:dyDescent="0.35">
      <c r="B93" t="s">
        <v>150</v>
      </c>
      <c r="C93" t="s">
        <v>27</v>
      </c>
      <c r="D93" t="s">
        <v>444</v>
      </c>
    </row>
    <row r="94" spans="2:4" x14ac:dyDescent="0.35">
      <c r="B94" t="s">
        <v>151</v>
      </c>
      <c r="C94" t="s">
        <v>27</v>
      </c>
      <c r="D94" t="s">
        <v>444</v>
      </c>
    </row>
    <row r="95" spans="2:4" x14ac:dyDescent="0.35">
      <c r="B95" t="s">
        <v>152</v>
      </c>
      <c r="C95" t="s">
        <v>25</v>
      </c>
      <c r="D95" t="s">
        <v>445</v>
      </c>
    </row>
    <row r="96" spans="2:4" x14ac:dyDescent="0.35">
      <c r="B96" t="s">
        <v>153</v>
      </c>
      <c r="C96" t="s">
        <v>25</v>
      </c>
      <c r="D96" t="s">
        <v>445</v>
      </c>
    </row>
    <row r="97" spans="2:4" x14ac:dyDescent="0.35">
      <c r="B97" t="s">
        <v>154</v>
      </c>
      <c r="C97" t="s">
        <v>25</v>
      </c>
      <c r="D97" t="s">
        <v>445</v>
      </c>
    </row>
    <row r="98" spans="2:4" x14ac:dyDescent="0.35">
      <c r="B98" t="s">
        <v>155</v>
      </c>
      <c r="C98" t="s">
        <v>28</v>
      </c>
      <c r="D98" t="s">
        <v>445</v>
      </c>
    </row>
    <row r="99" spans="2:4" x14ac:dyDescent="0.35">
      <c r="B99" t="s">
        <v>156</v>
      </c>
      <c r="C99" t="s">
        <v>25</v>
      </c>
      <c r="D99" t="s">
        <v>445</v>
      </c>
    </row>
    <row r="100" spans="2:4" x14ac:dyDescent="0.35">
      <c r="B100" t="s">
        <v>157</v>
      </c>
      <c r="C100" t="s">
        <v>27</v>
      </c>
      <c r="D100" t="s">
        <v>445</v>
      </c>
    </row>
    <row r="101" spans="2:4" x14ac:dyDescent="0.35">
      <c r="B101" t="s">
        <v>158</v>
      </c>
      <c r="C101" t="s">
        <v>55</v>
      </c>
      <c r="D101" t="s">
        <v>445</v>
      </c>
    </row>
    <row r="102" spans="2:4" x14ac:dyDescent="0.35">
      <c r="B102" t="s">
        <v>159</v>
      </c>
      <c r="C102" t="s">
        <v>51</v>
      </c>
      <c r="D102" t="s">
        <v>445</v>
      </c>
    </row>
    <row r="103" spans="2:4" x14ac:dyDescent="0.35">
      <c r="B103" t="s">
        <v>160</v>
      </c>
      <c r="C103" t="s">
        <v>28</v>
      </c>
      <c r="D103" t="s">
        <v>445</v>
      </c>
    </row>
    <row r="104" spans="2:4" x14ac:dyDescent="0.35">
      <c r="B104" t="s">
        <v>161</v>
      </c>
      <c r="C104" t="s">
        <v>28</v>
      </c>
      <c r="D104" t="s">
        <v>445</v>
      </c>
    </row>
    <row r="105" spans="2:4" x14ac:dyDescent="0.35">
      <c r="B105" t="s">
        <v>162</v>
      </c>
      <c r="C105" t="s">
        <v>28</v>
      </c>
      <c r="D105" t="s">
        <v>445</v>
      </c>
    </row>
    <row r="106" spans="2:4" x14ac:dyDescent="0.35">
      <c r="B106" t="s">
        <v>163</v>
      </c>
      <c r="C106" t="s">
        <v>27</v>
      </c>
      <c r="D106" t="s">
        <v>446</v>
      </c>
    </row>
    <row r="107" spans="2:4" x14ac:dyDescent="0.35">
      <c r="B107" t="s">
        <v>164</v>
      </c>
      <c r="C107" t="s">
        <v>27</v>
      </c>
      <c r="D107" t="s">
        <v>446</v>
      </c>
    </row>
    <row r="108" spans="2:4" x14ac:dyDescent="0.35">
      <c r="B108" t="s">
        <v>165</v>
      </c>
      <c r="C108" t="s">
        <v>27</v>
      </c>
      <c r="D108" t="s">
        <v>446</v>
      </c>
    </row>
    <row r="109" spans="2:4" x14ac:dyDescent="0.35">
      <c r="B109" t="s">
        <v>166</v>
      </c>
      <c r="C109" t="s">
        <v>27</v>
      </c>
      <c r="D109" t="s">
        <v>446</v>
      </c>
    </row>
    <row r="110" spans="2:4" x14ac:dyDescent="0.35">
      <c r="B110" t="s">
        <v>167</v>
      </c>
      <c r="C110" t="s">
        <v>50</v>
      </c>
      <c r="D110" t="s">
        <v>446</v>
      </c>
    </row>
    <row r="111" spans="2:4" x14ac:dyDescent="0.35">
      <c r="B111" t="s">
        <v>168</v>
      </c>
      <c r="C111" t="s">
        <v>51</v>
      </c>
      <c r="D111" t="s">
        <v>446</v>
      </c>
    </row>
    <row r="112" spans="2:4" x14ac:dyDescent="0.35">
      <c r="B112" t="s">
        <v>169</v>
      </c>
      <c r="C112" t="s">
        <v>50</v>
      </c>
      <c r="D112" t="s">
        <v>446</v>
      </c>
    </row>
    <row r="113" spans="2:4" x14ac:dyDescent="0.35">
      <c r="B113" t="s">
        <v>170</v>
      </c>
      <c r="C113" t="s">
        <v>27</v>
      </c>
      <c r="D113" t="s">
        <v>447</v>
      </c>
    </row>
    <row r="114" spans="2:4" x14ac:dyDescent="0.35">
      <c r="B114" t="s">
        <v>171</v>
      </c>
      <c r="C114" t="s">
        <v>27</v>
      </c>
      <c r="D114" t="s">
        <v>447</v>
      </c>
    </row>
    <row r="115" spans="2:4" x14ac:dyDescent="0.35">
      <c r="B115" t="s">
        <v>172</v>
      </c>
      <c r="C115" t="s">
        <v>27</v>
      </c>
      <c r="D115" t="s">
        <v>447</v>
      </c>
    </row>
    <row r="116" spans="2:4" x14ac:dyDescent="0.35">
      <c r="B116" t="s">
        <v>173</v>
      </c>
      <c r="C116" t="s">
        <v>33</v>
      </c>
      <c r="D116" t="s">
        <v>447</v>
      </c>
    </row>
    <row r="117" spans="2:4" x14ac:dyDescent="0.35">
      <c r="B117" t="s">
        <v>174</v>
      </c>
      <c r="C117" t="s">
        <v>25</v>
      </c>
      <c r="D117" t="s">
        <v>447</v>
      </c>
    </row>
    <row r="118" spans="2:4" x14ac:dyDescent="0.35">
      <c r="B118" t="s">
        <v>175</v>
      </c>
      <c r="C118" t="s">
        <v>33</v>
      </c>
      <c r="D118" t="s">
        <v>447</v>
      </c>
    </row>
    <row r="119" spans="2:4" x14ac:dyDescent="0.35">
      <c r="B119" t="s">
        <v>176</v>
      </c>
      <c r="C119" t="s">
        <v>28</v>
      </c>
      <c r="D119" t="s">
        <v>447</v>
      </c>
    </row>
    <row r="120" spans="2:4" x14ac:dyDescent="0.35">
      <c r="B120" t="s">
        <v>177</v>
      </c>
      <c r="C120" t="s">
        <v>28</v>
      </c>
      <c r="D120" t="s">
        <v>447</v>
      </c>
    </row>
    <row r="121" spans="2:4" x14ac:dyDescent="0.35">
      <c r="B121" t="s">
        <v>178</v>
      </c>
      <c r="C121" t="s">
        <v>28</v>
      </c>
      <c r="D121" t="s">
        <v>447</v>
      </c>
    </row>
    <row r="122" spans="2:4" x14ac:dyDescent="0.35">
      <c r="B122" t="s">
        <v>179</v>
      </c>
      <c r="C122" t="s">
        <v>27</v>
      </c>
      <c r="D122" t="s">
        <v>447</v>
      </c>
    </row>
    <row r="123" spans="2:4" x14ac:dyDescent="0.35">
      <c r="B123" t="s">
        <v>180</v>
      </c>
      <c r="C123" t="s">
        <v>28</v>
      </c>
      <c r="D123" t="s">
        <v>447</v>
      </c>
    </row>
    <row r="124" spans="2:4" x14ac:dyDescent="0.35">
      <c r="B124" t="s">
        <v>181</v>
      </c>
      <c r="C124" t="s">
        <v>28</v>
      </c>
      <c r="D124" t="s">
        <v>447</v>
      </c>
    </row>
    <row r="125" spans="2:4" x14ac:dyDescent="0.35">
      <c r="B125" t="s">
        <v>182</v>
      </c>
      <c r="C125" t="s">
        <v>51</v>
      </c>
      <c r="D125" t="s">
        <v>447</v>
      </c>
    </row>
    <row r="126" spans="2:4" x14ac:dyDescent="0.35">
      <c r="B126" t="s">
        <v>183</v>
      </c>
      <c r="C126" t="s">
        <v>31</v>
      </c>
      <c r="D126" t="s">
        <v>447</v>
      </c>
    </row>
    <row r="127" spans="2:4" x14ac:dyDescent="0.35">
      <c r="B127" t="s">
        <v>184</v>
      </c>
      <c r="C127" t="s">
        <v>27</v>
      </c>
      <c r="D127" t="s">
        <v>447</v>
      </c>
    </row>
    <row r="128" spans="2:4" x14ac:dyDescent="0.35">
      <c r="B128" t="s">
        <v>185</v>
      </c>
      <c r="C128" t="s">
        <v>28</v>
      </c>
      <c r="D128" t="s">
        <v>447</v>
      </c>
    </row>
    <row r="129" spans="2:4" x14ac:dyDescent="0.35">
      <c r="B129" t="s">
        <v>186</v>
      </c>
      <c r="C129" t="s">
        <v>28</v>
      </c>
      <c r="D129" t="s">
        <v>447</v>
      </c>
    </row>
    <row r="130" spans="2:4" x14ac:dyDescent="0.35">
      <c r="B130" t="s">
        <v>187</v>
      </c>
      <c r="C130" t="s">
        <v>33</v>
      </c>
      <c r="D130" t="s">
        <v>447</v>
      </c>
    </row>
    <row r="131" spans="2:4" x14ac:dyDescent="0.35">
      <c r="B131" t="s">
        <v>188</v>
      </c>
      <c r="C131" t="s">
        <v>27</v>
      </c>
      <c r="D131" t="s">
        <v>448</v>
      </c>
    </row>
    <row r="132" spans="2:4" x14ac:dyDescent="0.35">
      <c r="B132" t="s">
        <v>189</v>
      </c>
      <c r="C132" t="s">
        <v>27</v>
      </c>
      <c r="D132" t="s">
        <v>448</v>
      </c>
    </row>
    <row r="133" spans="2:4" x14ac:dyDescent="0.35">
      <c r="B133" t="s">
        <v>190</v>
      </c>
      <c r="C133" t="s">
        <v>27</v>
      </c>
      <c r="D133" t="s">
        <v>448</v>
      </c>
    </row>
    <row r="134" spans="2:4" x14ac:dyDescent="0.35">
      <c r="B134" t="s">
        <v>191</v>
      </c>
      <c r="C134" t="s">
        <v>27</v>
      </c>
      <c r="D134" t="s">
        <v>448</v>
      </c>
    </row>
    <row r="135" spans="2:4" x14ac:dyDescent="0.35">
      <c r="B135" t="s">
        <v>192</v>
      </c>
      <c r="C135" t="s">
        <v>27</v>
      </c>
      <c r="D135" t="s">
        <v>449</v>
      </c>
    </row>
    <row r="136" spans="2:4" x14ac:dyDescent="0.35">
      <c r="B136" t="s">
        <v>193</v>
      </c>
      <c r="C136" t="s">
        <v>27</v>
      </c>
      <c r="D136" t="s">
        <v>449</v>
      </c>
    </row>
    <row r="137" spans="2:4" x14ac:dyDescent="0.35">
      <c r="B137" t="s">
        <v>194</v>
      </c>
      <c r="C137" t="s">
        <v>27</v>
      </c>
      <c r="D137" t="s">
        <v>449</v>
      </c>
    </row>
    <row r="138" spans="2:4" x14ac:dyDescent="0.35">
      <c r="B138" t="s">
        <v>195</v>
      </c>
      <c r="C138" t="s">
        <v>51</v>
      </c>
      <c r="D138" t="s">
        <v>449</v>
      </c>
    </row>
    <row r="139" spans="2:4" x14ac:dyDescent="0.35">
      <c r="B139" t="s">
        <v>196</v>
      </c>
      <c r="C139" t="s">
        <v>51</v>
      </c>
      <c r="D139" t="s">
        <v>449</v>
      </c>
    </row>
    <row r="140" spans="2:4" x14ac:dyDescent="0.35">
      <c r="B140" t="s">
        <v>197</v>
      </c>
      <c r="C140" t="s">
        <v>25</v>
      </c>
      <c r="D140" t="s">
        <v>449</v>
      </c>
    </row>
    <row r="141" spans="2:4" x14ac:dyDescent="0.35">
      <c r="B141" t="s">
        <v>198</v>
      </c>
      <c r="C141" t="s">
        <v>27</v>
      </c>
      <c r="D141" t="s">
        <v>450</v>
      </c>
    </row>
    <row r="142" spans="2:4" x14ac:dyDescent="0.35">
      <c r="B142" t="s">
        <v>199</v>
      </c>
      <c r="C142" t="s">
        <v>27</v>
      </c>
      <c r="D142" t="s">
        <v>450</v>
      </c>
    </row>
    <row r="143" spans="2:4" x14ac:dyDescent="0.35">
      <c r="B143" t="s">
        <v>200</v>
      </c>
      <c r="C143" t="s">
        <v>28</v>
      </c>
      <c r="D143" t="s">
        <v>450</v>
      </c>
    </row>
    <row r="144" spans="2:4" x14ac:dyDescent="0.35">
      <c r="B144" t="s">
        <v>201</v>
      </c>
      <c r="C144" t="s">
        <v>28</v>
      </c>
      <c r="D144" t="s">
        <v>450</v>
      </c>
    </row>
    <row r="145" spans="2:4" x14ac:dyDescent="0.35">
      <c r="B145" t="s">
        <v>202</v>
      </c>
      <c r="C145" t="s">
        <v>55</v>
      </c>
      <c r="D145" t="s">
        <v>450</v>
      </c>
    </row>
    <row r="146" spans="2:4" x14ac:dyDescent="0.35">
      <c r="B146" t="s">
        <v>203</v>
      </c>
      <c r="C146" t="s">
        <v>25</v>
      </c>
      <c r="D146" t="s">
        <v>451</v>
      </c>
    </row>
    <row r="147" spans="2:4" x14ac:dyDescent="0.35">
      <c r="B147" t="s">
        <v>204</v>
      </c>
      <c r="C147" t="s">
        <v>25</v>
      </c>
      <c r="D147" t="s">
        <v>451</v>
      </c>
    </row>
    <row r="148" spans="2:4" x14ac:dyDescent="0.35">
      <c r="B148" t="s">
        <v>205</v>
      </c>
      <c r="C148" t="s">
        <v>25</v>
      </c>
      <c r="D148" t="s">
        <v>451</v>
      </c>
    </row>
    <row r="149" spans="2:4" x14ac:dyDescent="0.35">
      <c r="B149" t="s">
        <v>206</v>
      </c>
      <c r="C149" t="s">
        <v>31</v>
      </c>
      <c r="D149" t="s">
        <v>451</v>
      </c>
    </row>
    <row r="150" spans="2:4" x14ac:dyDescent="0.35">
      <c r="B150" t="s">
        <v>207</v>
      </c>
      <c r="C150" t="s">
        <v>27</v>
      </c>
      <c r="D150" t="s">
        <v>451</v>
      </c>
    </row>
    <row r="151" spans="2:4" x14ac:dyDescent="0.35">
      <c r="B151" t="s">
        <v>208</v>
      </c>
      <c r="C151" t="s">
        <v>25</v>
      </c>
      <c r="D151" t="s">
        <v>451</v>
      </c>
    </row>
    <row r="152" spans="2:4" x14ac:dyDescent="0.35">
      <c r="B152" t="s">
        <v>209</v>
      </c>
      <c r="C152" t="s">
        <v>27</v>
      </c>
      <c r="D152" t="s">
        <v>451</v>
      </c>
    </row>
    <row r="153" spans="2:4" x14ac:dyDescent="0.35">
      <c r="B153" t="s">
        <v>210</v>
      </c>
      <c r="C153" t="s">
        <v>51</v>
      </c>
      <c r="D153" t="s">
        <v>451</v>
      </c>
    </row>
    <row r="154" spans="2:4" x14ac:dyDescent="0.35">
      <c r="B154" t="s">
        <v>211</v>
      </c>
      <c r="C154" t="s">
        <v>25</v>
      </c>
      <c r="D154" t="s">
        <v>451</v>
      </c>
    </row>
    <row r="155" spans="2:4" x14ac:dyDescent="0.35">
      <c r="B155" t="s">
        <v>212</v>
      </c>
      <c r="C155" t="s">
        <v>51</v>
      </c>
      <c r="D155" t="s">
        <v>451</v>
      </c>
    </row>
    <row r="156" spans="2:4" x14ac:dyDescent="0.35">
      <c r="B156" t="s">
        <v>213</v>
      </c>
      <c r="C156" t="s">
        <v>51</v>
      </c>
      <c r="D156" t="s">
        <v>451</v>
      </c>
    </row>
    <row r="157" spans="2:4" x14ac:dyDescent="0.35">
      <c r="B157" t="s">
        <v>214</v>
      </c>
      <c r="C157" t="s">
        <v>51</v>
      </c>
      <c r="D157" t="s">
        <v>451</v>
      </c>
    </row>
    <row r="158" spans="2:4" x14ac:dyDescent="0.35">
      <c r="B158" t="s">
        <v>215</v>
      </c>
      <c r="C158" t="s">
        <v>25</v>
      </c>
      <c r="D158" t="s">
        <v>451</v>
      </c>
    </row>
    <row r="159" spans="2:4" x14ac:dyDescent="0.35">
      <c r="B159" t="s">
        <v>216</v>
      </c>
      <c r="C159" t="s">
        <v>51</v>
      </c>
      <c r="D159" t="s">
        <v>452</v>
      </c>
    </row>
    <row r="160" spans="2:4" x14ac:dyDescent="0.35">
      <c r="B160" t="s">
        <v>217</v>
      </c>
      <c r="C160" t="s">
        <v>27</v>
      </c>
      <c r="D160" t="s">
        <v>452</v>
      </c>
    </row>
    <row r="161" spans="2:4" x14ac:dyDescent="0.35">
      <c r="B161" t="s">
        <v>218</v>
      </c>
      <c r="C161" t="s">
        <v>27</v>
      </c>
      <c r="D161" t="s">
        <v>452</v>
      </c>
    </row>
    <row r="162" spans="2:4" x14ac:dyDescent="0.35">
      <c r="B162" t="s">
        <v>219</v>
      </c>
      <c r="C162" t="s">
        <v>27</v>
      </c>
      <c r="D162" t="s">
        <v>452</v>
      </c>
    </row>
    <row r="163" spans="2:4" x14ac:dyDescent="0.35">
      <c r="B163" t="s">
        <v>220</v>
      </c>
      <c r="C163" t="s">
        <v>27</v>
      </c>
      <c r="D163" t="s">
        <v>452</v>
      </c>
    </row>
    <row r="164" spans="2:4" x14ac:dyDescent="0.35">
      <c r="B164" t="s">
        <v>221</v>
      </c>
      <c r="C164" t="s">
        <v>27</v>
      </c>
      <c r="D164" t="s">
        <v>453</v>
      </c>
    </row>
    <row r="165" spans="2:4" x14ac:dyDescent="0.35">
      <c r="B165" t="s">
        <v>222</v>
      </c>
      <c r="C165" t="s">
        <v>25</v>
      </c>
      <c r="D165" t="s">
        <v>453</v>
      </c>
    </row>
    <row r="166" spans="2:4" x14ac:dyDescent="0.35">
      <c r="B166" t="s">
        <v>223</v>
      </c>
      <c r="C166" t="s">
        <v>28</v>
      </c>
      <c r="D166" t="s">
        <v>453</v>
      </c>
    </row>
    <row r="167" spans="2:4" x14ac:dyDescent="0.35">
      <c r="B167" t="s">
        <v>224</v>
      </c>
      <c r="C167" t="s">
        <v>28</v>
      </c>
      <c r="D167" t="s">
        <v>453</v>
      </c>
    </row>
    <row r="168" spans="2:4" x14ac:dyDescent="0.35">
      <c r="B168" t="s">
        <v>225</v>
      </c>
      <c r="C168" t="s">
        <v>28</v>
      </c>
      <c r="D168" t="s">
        <v>453</v>
      </c>
    </row>
    <row r="169" spans="2:4" x14ac:dyDescent="0.35">
      <c r="B169" t="s">
        <v>226</v>
      </c>
      <c r="C169" t="s">
        <v>27</v>
      </c>
      <c r="D169" t="s">
        <v>453</v>
      </c>
    </row>
    <row r="170" spans="2:4" x14ac:dyDescent="0.35">
      <c r="B170" t="s">
        <v>227</v>
      </c>
      <c r="C170" t="s">
        <v>31</v>
      </c>
      <c r="D170" t="s">
        <v>453</v>
      </c>
    </row>
    <row r="171" spans="2:4" x14ac:dyDescent="0.35">
      <c r="B171" t="s">
        <v>228</v>
      </c>
      <c r="C171" t="s">
        <v>28</v>
      </c>
      <c r="D171" t="s">
        <v>453</v>
      </c>
    </row>
    <row r="172" spans="2:4" x14ac:dyDescent="0.35">
      <c r="B172" t="s">
        <v>229</v>
      </c>
      <c r="C172" t="s">
        <v>55</v>
      </c>
      <c r="D172" t="s">
        <v>453</v>
      </c>
    </row>
    <row r="173" spans="2:4" x14ac:dyDescent="0.35">
      <c r="B173" t="s">
        <v>230</v>
      </c>
      <c r="C173" t="s">
        <v>28</v>
      </c>
      <c r="D173" t="s">
        <v>453</v>
      </c>
    </row>
    <row r="174" spans="2:4" x14ac:dyDescent="0.35">
      <c r="B174" t="s">
        <v>231</v>
      </c>
      <c r="C174" t="s">
        <v>51</v>
      </c>
      <c r="D174" t="s">
        <v>453</v>
      </c>
    </row>
    <row r="175" spans="2:4" x14ac:dyDescent="0.35">
      <c r="B175" t="s">
        <v>232</v>
      </c>
      <c r="C175" t="s">
        <v>51</v>
      </c>
      <c r="D175" t="s">
        <v>453</v>
      </c>
    </row>
    <row r="176" spans="2:4" x14ac:dyDescent="0.35">
      <c r="B176" t="s">
        <v>233</v>
      </c>
      <c r="C176" t="s">
        <v>28</v>
      </c>
      <c r="D176" t="s">
        <v>453</v>
      </c>
    </row>
    <row r="177" spans="2:4" x14ac:dyDescent="0.35">
      <c r="B177" t="s">
        <v>234</v>
      </c>
      <c r="C177" t="s">
        <v>27</v>
      </c>
      <c r="D177" t="s">
        <v>454</v>
      </c>
    </row>
    <row r="178" spans="2:4" x14ac:dyDescent="0.35">
      <c r="B178" t="s">
        <v>235</v>
      </c>
      <c r="C178" t="s">
        <v>27</v>
      </c>
      <c r="D178" t="s">
        <v>454</v>
      </c>
    </row>
    <row r="179" spans="2:4" x14ac:dyDescent="0.35">
      <c r="B179" t="s">
        <v>236</v>
      </c>
      <c r="C179" t="s">
        <v>27</v>
      </c>
      <c r="D179" t="s">
        <v>454</v>
      </c>
    </row>
    <row r="180" spans="2:4" x14ac:dyDescent="0.35">
      <c r="B180" t="s">
        <v>237</v>
      </c>
      <c r="C180" t="s">
        <v>27</v>
      </c>
      <c r="D180" t="s">
        <v>454</v>
      </c>
    </row>
    <row r="181" spans="2:4" x14ac:dyDescent="0.35">
      <c r="B181" t="s">
        <v>238</v>
      </c>
      <c r="C181" t="s">
        <v>27</v>
      </c>
      <c r="D181" t="s">
        <v>454</v>
      </c>
    </row>
    <row r="182" spans="2:4" x14ac:dyDescent="0.35">
      <c r="B182" t="s">
        <v>239</v>
      </c>
      <c r="C182" t="s">
        <v>50</v>
      </c>
      <c r="D182" t="s">
        <v>454</v>
      </c>
    </row>
    <row r="183" spans="2:4" x14ac:dyDescent="0.35">
      <c r="B183" t="s">
        <v>240</v>
      </c>
      <c r="C183" t="s">
        <v>50</v>
      </c>
      <c r="D183" t="s">
        <v>454</v>
      </c>
    </row>
    <row r="184" spans="2:4" x14ac:dyDescent="0.35">
      <c r="B184" t="s">
        <v>241</v>
      </c>
      <c r="C184" t="s">
        <v>50</v>
      </c>
      <c r="D184" t="s">
        <v>454</v>
      </c>
    </row>
    <row r="185" spans="2:4" x14ac:dyDescent="0.35">
      <c r="B185" t="s">
        <v>242</v>
      </c>
      <c r="C185" t="s">
        <v>31</v>
      </c>
      <c r="D185" t="s">
        <v>454</v>
      </c>
    </row>
    <row r="186" spans="2:4" x14ac:dyDescent="0.35">
      <c r="B186" t="s">
        <v>243</v>
      </c>
      <c r="C186" t="s">
        <v>50</v>
      </c>
      <c r="D186" t="s">
        <v>454</v>
      </c>
    </row>
    <row r="187" spans="2:4" x14ac:dyDescent="0.35">
      <c r="B187" t="s">
        <v>244</v>
      </c>
      <c r="C187" t="s">
        <v>50</v>
      </c>
      <c r="D187" t="s">
        <v>454</v>
      </c>
    </row>
    <row r="188" spans="2:4" x14ac:dyDescent="0.35">
      <c r="B188" t="s">
        <v>245</v>
      </c>
      <c r="C188" t="s">
        <v>50</v>
      </c>
      <c r="D188" t="s">
        <v>454</v>
      </c>
    </row>
    <row r="189" spans="2:4" x14ac:dyDescent="0.35">
      <c r="B189" t="s">
        <v>246</v>
      </c>
      <c r="C189" t="s">
        <v>27</v>
      </c>
      <c r="D189" t="s">
        <v>455</v>
      </c>
    </row>
    <row r="190" spans="2:4" x14ac:dyDescent="0.35">
      <c r="B190" t="s">
        <v>247</v>
      </c>
      <c r="C190" t="s">
        <v>27</v>
      </c>
      <c r="D190" t="s">
        <v>455</v>
      </c>
    </row>
    <row r="191" spans="2:4" x14ac:dyDescent="0.35">
      <c r="B191" t="s">
        <v>248</v>
      </c>
      <c r="C191" t="s">
        <v>27</v>
      </c>
      <c r="D191" t="s">
        <v>455</v>
      </c>
    </row>
    <row r="192" spans="2:4" x14ac:dyDescent="0.35">
      <c r="B192" t="s">
        <v>249</v>
      </c>
      <c r="C192" t="s">
        <v>27</v>
      </c>
      <c r="D192" t="s">
        <v>455</v>
      </c>
    </row>
    <row r="193" spans="2:4" x14ac:dyDescent="0.35">
      <c r="B193" t="s">
        <v>250</v>
      </c>
      <c r="C193" t="s">
        <v>29</v>
      </c>
      <c r="D193" t="s">
        <v>456</v>
      </c>
    </row>
    <row r="194" spans="2:4" x14ac:dyDescent="0.35">
      <c r="B194" t="s">
        <v>251</v>
      </c>
      <c r="C194" t="s">
        <v>26</v>
      </c>
      <c r="D194" t="s">
        <v>456</v>
      </c>
    </row>
    <row r="195" spans="2:4" x14ac:dyDescent="0.35">
      <c r="B195" t="s">
        <v>252</v>
      </c>
      <c r="C195" t="s">
        <v>25</v>
      </c>
      <c r="D195" t="s">
        <v>456</v>
      </c>
    </row>
    <row r="196" spans="2:4" x14ac:dyDescent="0.35">
      <c r="B196" t="s">
        <v>253</v>
      </c>
      <c r="C196" t="s">
        <v>28</v>
      </c>
      <c r="D196" t="s">
        <v>456</v>
      </c>
    </row>
    <row r="197" spans="2:4" x14ac:dyDescent="0.35">
      <c r="B197" t="s">
        <v>254</v>
      </c>
      <c r="C197" t="s">
        <v>31</v>
      </c>
      <c r="D197" t="s">
        <v>456</v>
      </c>
    </row>
    <row r="198" spans="2:4" x14ac:dyDescent="0.35">
      <c r="B198" t="s">
        <v>255</v>
      </c>
      <c r="C198" t="s">
        <v>25</v>
      </c>
      <c r="D198" t="s">
        <v>456</v>
      </c>
    </row>
    <row r="199" spans="2:4" x14ac:dyDescent="0.35">
      <c r="B199" t="s">
        <v>256</v>
      </c>
      <c r="C199" t="s">
        <v>51</v>
      </c>
      <c r="D199" t="s">
        <v>456</v>
      </c>
    </row>
    <row r="200" spans="2:4" x14ac:dyDescent="0.35">
      <c r="B200" t="s">
        <v>257</v>
      </c>
      <c r="C200" t="s">
        <v>28</v>
      </c>
      <c r="D200" t="s">
        <v>456</v>
      </c>
    </row>
    <row r="201" spans="2:4" x14ac:dyDescent="0.35">
      <c r="B201" t="s">
        <v>258</v>
      </c>
      <c r="C201" t="s">
        <v>28</v>
      </c>
      <c r="D201" t="s">
        <v>456</v>
      </c>
    </row>
    <row r="202" spans="2:4" x14ac:dyDescent="0.35">
      <c r="B202" t="s">
        <v>259</v>
      </c>
      <c r="C202" t="s">
        <v>51</v>
      </c>
      <c r="D202" t="s">
        <v>456</v>
      </c>
    </row>
    <row r="203" spans="2:4" x14ac:dyDescent="0.35">
      <c r="B203" t="s">
        <v>260</v>
      </c>
      <c r="C203" t="s">
        <v>31</v>
      </c>
      <c r="D203" t="s">
        <v>456</v>
      </c>
    </row>
    <row r="204" spans="2:4" x14ac:dyDescent="0.35">
      <c r="B204" t="s">
        <v>261</v>
      </c>
      <c r="C204" t="s">
        <v>31</v>
      </c>
      <c r="D204" t="s">
        <v>456</v>
      </c>
    </row>
    <row r="205" spans="2:4" x14ac:dyDescent="0.35">
      <c r="B205" t="s">
        <v>262</v>
      </c>
      <c r="C205" t="s">
        <v>31</v>
      </c>
      <c r="D205" t="s">
        <v>456</v>
      </c>
    </row>
    <row r="206" spans="2:4" x14ac:dyDescent="0.35">
      <c r="B206" t="s">
        <v>263</v>
      </c>
      <c r="C206" t="s">
        <v>51</v>
      </c>
      <c r="D206" t="s">
        <v>456</v>
      </c>
    </row>
    <row r="207" spans="2:4" x14ac:dyDescent="0.35">
      <c r="B207" t="s">
        <v>264</v>
      </c>
      <c r="C207" t="s">
        <v>28</v>
      </c>
      <c r="D207" t="s">
        <v>456</v>
      </c>
    </row>
    <row r="208" spans="2:4" x14ac:dyDescent="0.35">
      <c r="B208" t="s">
        <v>265</v>
      </c>
      <c r="C208" t="s">
        <v>55</v>
      </c>
      <c r="D208" t="s">
        <v>456</v>
      </c>
    </row>
    <row r="209" spans="2:4" x14ac:dyDescent="0.35">
      <c r="B209" t="s">
        <v>266</v>
      </c>
      <c r="C209" t="s">
        <v>26</v>
      </c>
      <c r="D209" t="s">
        <v>456</v>
      </c>
    </row>
    <row r="210" spans="2:4" x14ac:dyDescent="0.35">
      <c r="B210" t="s">
        <v>267</v>
      </c>
      <c r="C210" t="s">
        <v>55</v>
      </c>
      <c r="D210" t="s">
        <v>456</v>
      </c>
    </row>
    <row r="211" spans="2:4" x14ac:dyDescent="0.35">
      <c r="B211" t="s">
        <v>268</v>
      </c>
      <c r="C211" t="s">
        <v>25</v>
      </c>
      <c r="D211" t="s">
        <v>457</v>
      </c>
    </row>
    <row r="212" spans="2:4" x14ac:dyDescent="0.35">
      <c r="B212" t="s">
        <v>269</v>
      </c>
      <c r="C212" t="s">
        <v>25</v>
      </c>
      <c r="D212" t="s">
        <v>457</v>
      </c>
    </row>
    <row r="213" spans="2:4" x14ac:dyDescent="0.35">
      <c r="B213" t="s">
        <v>270</v>
      </c>
      <c r="C213" t="s">
        <v>25</v>
      </c>
      <c r="D213" t="s">
        <v>457</v>
      </c>
    </row>
    <row r="214" spans="2:4" x14ac:dyDescent="0.35">
      <c r="B214" t="s">
        <v>271</v>
      </c>
      <c r="C214" t="s">
        <v>25</v>
      </c>
      <c r="D214" t="s">
        <v>457</v>
      </c>
    </row>
    <row r="215" spans="2:4" x14ac:dyDescent="0.35">
      <c r="B215" t="s">
        <v>272</v>
      </c>
      <c r="C215" t="s">
        <v>25</v>
      </c>
      <c r="D215" t="s">
        <v>457</v>
      </c>
    </row>
    <row r="216" spans="2:4" x14ac:dyDescent="0.35">
      <c r="B216" t="s">
        <v>273</v>
      </c>
      <c r="C216" t="s">
        <v>25</v>
      </c>
      <c r="D216" t="s">
        <v>457</v>
      </c>
    </row>
    <row r="217" spans="2:4" x14ac:dyDescent="0.35">
      <c r="B217" t="s">
        <v>274</v>
      </c>
      <c r="C217" t="s">
        <v>25</v>
      </c>
      <c r="D217" t="s">
        <v>457</v>
      </c>
    </row>
    <row r="218" spans="2:4" x14ac:dyDescent="0.35">
      <c r="B218" t="s">
        <v>275</v>
      </c>
      <c r="C218" t="s">
        <v>25</v>
      </c>
      <c r="D218" t="s">
        <v>457</v>
      </c>
    </row>
    <row r="219" spans="2:4" x14ac:dyDescent="0.35">
      <c r="B219" t="s">
        <v>276</v>
      </c>
      <c r="C219" t="s">
        <v>25</v>
      </c>
      <c r="D219" t="s">
        <v>457</v>
      </c>
    </row>
    <row r="220" spans="2:4" x14ac:dyDescent="0.35">
      <c r="B220" t="s">
        <v>277</v>
      </c>
      <c r="C220" t="s">
        <v>25</v>
      </c>
      <c r="D220" t="s">
        <v>457</v>
      </c>
    </row>
    <row r="221" spans="2:4" x14ac:dyDescent="0.35">
      <c r="B221" t="s">
        <v>278</v>
      </c>
      <c r="C221" t="s">
        <v>50</v>
      </c>
      <c r="D221" t="s">
        <v>457</v>
      </c>
    </row>
    <row r="222" spans="2:4" x14ac:dyDescent="0.35">
      <c r="B222" t="s">
        <v>279</v>
      </c>
      <c r="C222" t="s">
        <v>25</v>
      </c>
      <c r="D222" t="s">
        <v>457</v>
      </c>
    </row>
    <row r="223" spans="2:4" x14ac:dyDescent="0.35">
      <c r="B223" t="s">
        <v>280</v>
      </c>
      <c r="C223" t="s">
        <v>31</v>
      </c>
      <c r="D223" t="s">
        <v>457</v>
      </c>
    </row>
    <row r="224" spans="2:4" x14ac:dyDescent="0.35">
      <c r="B224" t="s">
        <v>281</v>
      </c>
      <c r="C224" t="s">
        <v>25</v>
      </c>
      <c r="D224" t="s">
        <v>457</v>
      </c>
    </row>
    <row r="225" spans="2:4" x14ac:dyDescent="0.35">
      <c r="B225" t="s">
        <v>282</v>
      </c>
      <c r="C225" t="s">
        <v>50</v>
      </c>
      <c r="D225" t="s">
        <v>457</v>
      </c>
    </row>
    <row r="226" spans="2:4" x14ac:dyDescent="0.35">
      <c r="B226" t="s">
        <v>283</v>
      </c>
      <c r="C226" t="s">
        <v>50</v>
      </c>
      <c r="D226" t="s">
        <v>457</v>
      </c>
    </row>
    <row r="227" spans="2:4" x14ac:dyDescent="0.35">
      <c r="B227" t="s">
        <v>284</v>
      </c>
      <c r="C227" t="s">
        <v>50</v>
      </c>
      <c r="D227" t="s">
        <v>457</v>
      </c>
    </row>
    <row r="228" spans="2:4" x14ac:dyDescent="0.35">
      <c r="B228" t="s">
        <v>285</v>
      </c>
      <c r="C228" t="s">
        <v>25</v>
      </c>
      <c r="D228" t="s">
        <v>457</v>
      </c>
    </row>
    <row r="229" spans="2:4" x14ac:dyDescent="0.35">
      <c r="B229" t="s">
        <v>286</v>
      </c>
      <c r="C229" t="s">
        <v>25</v>
      </c>
      <c r="D229" t="s">
        <v>457</v>
      </c>
    </row>
    <row r="230" spans="2:4" x14ac:dyDescent="0.35">
      <c r="B230" t="s">
        <v>287</v>
      </c>
      <c r="C230" t="s">
        <v>25</v>
      </c>
      <c r="D230" t="s">
        <v>457</v>
      </c>
    </row>
    <row r="231" spans="2:4" x14ac:dyDescent="0.35">
      <c r="B231" t="s">
        <v>288</v>
      </c>
      <c r="C231" t="s">
        <v>25</v>
      </c>
      <c r="D231" t="s">
        <v>457</v>
      </c>
    </row>
    <row r="232" spans="2:4" x14ac:dyDescent="0.35">
      <c r="B232" t="s">
        <v>289</v>
      </c>
      <c r="C232" t="s">
        <v>25</v>
      </c>
      <c r="D232" t="s">
        <v>457</v>
      </c>
    </row>
    <row r="233" spans="2:4" x14ac:dyDescent="0.35">
      <c r="B233" t="s">
        <v>290</v>
      </c>
      <c r="C233" t="s">
        <v>25</v>
      </c>
      <c r="D233" t="s">
        <v>457</v>
      </c>
    </row>
    <row r="234" spans="2:4" x14ac:dyDescent="0.35">
      <c r="B234" t="s">
        <v>291</v>
      </c>
      <c r="C234" t="s">
        <v>25</v>
      </c>
      <c r="D234" t="s">
        <v>457</v>
      </c>
    </row>
    <row r="235" spans="2:4" x14ac:dyDescent="0.35">
      <c r="B235" t="s">
        <v>292</v>
      </c>
      <c r="C235" t="s">
        <v>50</v>
      </c>
      <c r="D235" t="s">
        <v>457</v>
      </c>
    </row>
    <row r="236" spans="2:4" x14ac:dyDescent="0.35">
      <c r="B236" t="s">
        <v>293</v>
      </c>
      <c r="C236" t="s">
        <v>27</v>
      </c>
      <c r="D236" t="s">
        <v>458</v>
      </c>
    </row>
    <row r="237" spans="2:4" x14ac:dyDescent="0.35">
      <c r="B237" t="s">
        <v>294</v>
      </c>
      <c r="C237" t="s">
        <v>27</v>
      </c>
      <c r="D237" t="s">
        <v>458</v>
      </c>
    </row>
    <row r="238" spans="2:4" x14ac:dyDescent="0.35">
      <c r="B238" t="s">
        <v>295</v>
      </c>
      <c r="C238" t="s">
        <v>27</v>
      </c>
      <c r="D238" t="s">
        <v>458</v>
      </c>
    </row>
    <row r="239" spans="2:4" x14ac:dyDescent="0.35">
      <c r="B239" t="s">
        <v>296</v>
      </c>
      <c r="C239" t="s">
        <v>33</v>
      </c>
      <c r="D239" t="s">
        <v>458</v>
      </c>
    </row>
    <row r="240" spans="2:4" x14ac:dyDescent="0.35">
      <c r="B240" t="s">
        <v>297</v>
      </c>
      <c r="C240" t="s">
        <v>25</v>
      </c>
      <c r="D240" t="s">
        <v>458</v>
      </c>
    </row>
    <row r="241" spans="2:4" x14ac:dyDescent="0.35">
      <c r="B241" t="s">
        <v>298</v>
      </c>
      <c r="C241" t="s">
        <v>25</v>
      </c>
      <c r="D241" t="s">
        <v>458</v>
      </c>
    </row>
    <row r="242" spans="2:4" x14ac:dyDescent="0.35">
      <c r="B242" t="s">
        <v>299</v>
      </c>
      <c r="C242" t="s">
        <v>25</v>
      </c>
      <c r="D242" t="s">
        <v>458</v>
      </c>
    </row>
    <row r="243" spans="2:4" x14ac:dyDescent="0.35">
      <c r="B243" t="s">
        <v>300</v>
      </c>
      <c r="C243" t="s">
        <v>25</v>
      </c>
      <c r="D243" t="s">
        <v>458</v>
      </c>
    </row>
    <row r="244" spans="2:4" x14ac:dyDescent="0.35">
      <c r="B244" t="s">
        <v>301</v>
      </c>
      <c r="C244" t="s">
        <v>25</v>
      </c>
      <c r="D244" t="s">
        <v>458</v>
      </c>
    </row>
    <row r="245" spans="2:4" x14ac:dyDescent="0.35">
      <c r="B245" t="s">
        <v>302</v>
      </c>
      <c r="C245" t="s">
        <v>27</v>
      </c>
      <c r="D245" t="s">
        <v>458</v>
      </c>
    </row>
    <row r="246" spans="2:4" x14ac:dyDescent="0.35">
      <c r="B246" t="s">
        <v>303</v>
      </c>
      <c r="C246" t="s">
        <v>51</v>
      </c>
      <c r="D246" t="s">
        <v>458</v>
      </c>
    </row>
    <row r="247" spans="2:4" x14ac:dyDescent="0.35">
      <c r="B247" t="s">
        <v>304</v>
      </c>
      <c r="C247" t="s">
        <v>51</v>
      </c>
      <c r="D247" t="s">
        <v>458</v>
      </c>
    </row>
    <row r="248" spans="2:4" x14ac:dyDescent="0.35">
      <c r="B248" t="s">
        <v>305</v>
      </c>
      <c r="C248" t="s">
        <v>25</v>
      </c>
      <c r="D248" t="s">
        <v>458</v>
      </c>
    </row>
    <row r="249" spans="2:4" x14ac:dyDescent="0.35">
      <c r="B249" t="s">
        <v>306</v>
      </c>
      <c r="C249" t="s">
        <v>29</v>
      </c>
      <c r="D249" t="s">
        <v>459</v>
      </c>
    </row>
    <row r="250" spans="2:4" x14ac:dyDescent="0.35">
      <c r="B250" t="s">
        <v>307</v>
      </c>
      <c r="C250" t="s">
        <v>29</v>
      </c>
      <c r="D250" t="s">
        <v>459</v>
      </c>
    </row>
    <row r="251" spans="2:4" x14ac:dyDescent="0.35">
      <c r="B251" t="s">
        <v>308</v>
      </c>
      <c r="C251" t="s">
        <v>55</v>
      </c>
      <c r="D251" t="s">
        <v>459</v>
      </c>
    </row>
    <row r="252" spans="2:4" x14ac:dyDescent="0.35">
      <c r="B252" t="s">
        <v>309</v>
      </c>
      <c r="C252" t="s">
        <v>28</v>
      </c>
      <c r="D252" t="s">
        <v>459</v>
      </c>
    </row>
    <row r="253" spans="2:4" x14ac:dyDescent="0.35">
      <c r="B253" t="s">
        <v>310</v>
      </c>
      <c r="C253" t="s">
        <v>28</v>
      </c>
      <c r="D253" t="s">
        <v>459</v>
      </c>
    </row>
    <row r="254" spans="2:4" x14ac:dyDescent="0.35">
      <c r="B254" t="s">
        <v>311</v>
      </c>
      <c r="C254" t="s">
        <v>28</v>
      </c>
      <c r="D254" t="s">
        <v>459</v>
      </c>
    </row>
    <row r="255" spans="2:4" x14ac:dyDescent="0.35">
      <c r="B255" t="s">
        <v>312</v>
      </c>
      <c r="C255" t="s">
        <v>29</v>
      </c>
      <c r="D255" t="s">
        <v>459</v>
      </c>
    </row>
    <row r="256" spans="2:4" x14ac:dyDescent="0.35">
      <c r="B256" t="s">
        <v>313</v>
      </c>
      <c r="C256" t="s">
        <v>55</v>
      </c>
      <c r="D256" t="s">
        <v>459</v>
      </c>
    </row>
    <row r="257" spans="2:4" x14ac:dyDescent="0.35">
      <c r="B257" t="s">
        <v>314</v>
      </c>
      <c r="C257" t="s">
        <v>28</v>
      </c>
      <c r="D257" t="s">
        <v>459</v>
      </c>
    </row>
    <row r="258" spans="2:4" x14ac:dyDescent="0.35">
      <c r="B258" t="s">
        <v>315</v>
      </c>
      <c r="C258" t="s">
        <v>29</v>
      </c>
      <c r="D258" t="s">
        <v>459</v>
      </c>
    </row>
    <row r="259" spans="2:4" x14ac:dyDescent="0.35">
      <c r="B259" t="s">
        <v>316</v>
      </c>
      <c r="C259" t="s">
        <v>29</v>
      </c>
      <c r="D259" t="s">
        <v>459</v>
      </c>
    </row>
    <row r="260" spans="2:4" x14ac:dyDescent="0.35">
      <c r="B260" t="s">
        <v>317</v>
      </c>
      <c r="C260" t="s">
        <v>50</v>
      </c>
      <c r="D260" t="s">
        <v>459</v>
      </c>
    </row>
    <row r="261" spans="2:4" x14ac:dyDescent="0.35">
      <c r="B261" t="s">
        <v>318</v>
      </c>
      <c r="C261" t="s">
        <v>29</v>
      </c>
      <c r="D261" t="s">
        <v>459</v>
      </c>
    </row>
    <row r="262" spans="2:4" x14ac:dyDescent="0.35">
      <c r="B262" t="s">
        <v>319</v>
      </c>
      <c r="C262" t="s">
        <v>29</v>
      </c>
      <c r="D262" t="s">
        <v>459</v>
      </c>
    </row>
    <row r="263" spans="2:4" x14ac:dyDescent="0.35">
      <c r="B263" t="s">
        <v>320</v>
      </c>
      <c r="C263" t="s">
        <v>29</v>
      </c>
      <c r="D263" t="s">
        <v>459</v>
      </c>
    </row>
    <row r="264" spans="2:4" x14ac:dyDescent="0.35">
      <c r="B264" t="s">
        <v>321</v>
      </c>
      <c r="C264" t="s">
        <v>50</v>
      </c>
      <c r="D264" t="s">
        <v>459</v>
      </c>
    </row>
    <row r="265" spans="2:4" x14ac:dyDescent="0.35">
      <c r="B265" t="s">
        <v>322</v>
      </c>
      <c r="C265" t="s">
        <v>28</v>
      </c>
      <c r="D265" t="s">
        <v>459</v>
      </c>
    </row>
    <row r="266" spans="2:4" x14ac:dyDescent="0.35">
      <c r="B266" t="s">
        <v>323</v>
      </c>
      <c r="C266" t="s">
        <v>28</v>
      </c>
      <c r="D266" t="s">
        <v>459</v>
      </c>
    </row>
    <row r="267" spans="2:4" x14ac:dyDescent="0.35">
      <c r="B267" t="s">
        <v>324</v>
      </c>
      <c r="C267" t="s">
        <v>28</v>
      </c>
      <c r="D267" t="s">
        <v>459</v>
      </c>
    </row>
    <row r="268" spans="2:4" x14ac:dyDescent="0.35">
      <c r="B268" t="s">
        <v>325</v>
      </c>
      <c r="C268" t="s">
        <v>55</v>
      </c>
      <c r="D268" t="s">
        <v>459</v>
      </c>
    </row>
    <row r="269" spans="2:4" x14ac:dyDescent="0.35">
      <c r="B269" t="s">
        <v>326</v>
      </c>
      <c r="C269" t="s">
        <v>28</v>
      </c>
      <c r="D269" t="s">
        <v>459</v>
      </c>
    </row>
    <row r="270" spans="2:4" x14ac:dyDescent="0.35">
      <c r="B270" t="s">
        <v>327</v>
      </c>
      <c r="C270" t="s">
        <v>25</v>
      </c>
      <c r="D270" t="s">
        <v>460</v>
      </c>
    </row>
    <row r="271" spans="2:4" x14ac:dyDescent="0.35">
      <c r="B271" t="s">
        <v>328</v>
      </c>
      <c r="C271" t="s">
        <v>25</v>
      </c>
      <c r="D271" t="s">
        <v>460</v>
      </c>
    </row>
    <row r="272" spans="2:4" x14ac:dyDescent="0.35">
      <c r="B272" t="s">
        <v>329</v>
      </c>
      <c r="C272" t="s">
        <v>25</v>
      </c>
      <c r="D272" t="s">
        <v>460</v>
      </c>
    </row>
    <row r="273" spans="2:4" x14ac:dyDescent="0.35">
      <c r="B273" t="s">
        <v>330</v>
      </c>
      <c r="C273" t="s">
        <v>27</v>
      </c>
      <c r="D273" t="s">
        <v>460</v>
      </c>
    </row>
    <row r="274" spans="2:4" x14ac:dyDescent="0.35">
      <c r="B274" t="s">
        <v>331</v>
      </c>
      <c r="C274" t="s">
        <v>27</v>
      </c>
      <c r="D274" t="s">
        <v>460</v>
      </c>
    </row>
    <row r="275" spans="2:4" x14ac:dyDescent="0.35">
      <c r="B275" t="s">
        <v>332</v>
      </c>
      <c r="C275" t="s">
        <v>27</v>
      </c>
      <c r="D275" t="s">
        <v>460</v>
      </c>
    </row>
    <row r="276" spans="2:4" x14ac:dyDescent="0.35">
      <c r="B276" t="s">
        <v>333</v>
      </c>
      <c r="C276" t="s">
        <v>25</v>
      </c>
      <c r="D276" t="s">
        <v>460</v>
      </c>
    </row>
    <row r="277" spans="2:4" x14ac:dyDescent="0.35">
      <c r="B277" t="s">
        <v>334</v>
      </c>
      <c r="C277" t="s">
        <v>55</v>
      </c>
      <c r="D277" t="s">
        <v>460</v>
      </c>
    </row>
    <row r="278" spans="2:4" x14ac:dyDescent="0.35">
      <c r="B278" t="s">
        <v>335</v>
      </c>
      <c r="C278" t="s">
        <v>27</v>
      </c>
      <c r="D278" t="s">
        <v>461</v>
      </c>
    </row>
    <row r="279" spans="2:4" x14ac:dyDescent="0.35">
      <c r="B279" t="s">
        <v>336</v>
      </c>
      <c r="C279" t="s">
        <v>57</v>
      </c>
      <c r="D279" t="s">
        <v>461</v>
      </c>
    </row>
    <row r="280" spans="2:4" x14ac:dyDescent="0.35">
      <c r="B280" t="s">
        <v>337</v>
      </c>
      <c r="C280" t="s">
        <v>58</v>
      </c>
      <c r="D280" t="s">
        <v>461</v>
      </c>
    </row>
    <row r="281" spans="2:4" x14ac:dyDescent="0.35">
      <c r="B281" t="s">
        <v>338</v>
      </c>
      <c r="C281" t="s">
        <v>31</v>
      </c>
      <c r="D281" t="s">
        <v>461</v>
      </c>
    </row>
    <row r="282" spans="2:4" x14ac:dyDescent="0.35">
      <c r="B282" t="s">
        <v>339</v>
      </c>
      <c r="C282" t="s">
        <v>27</v>
      </c>
      <c r="D282" t="s">
        <v>461</v>
      </c>
    </row>
    <row r="283" spans="2:4" x14ac:dyDescent="0.35">
      <c r="B283" t="s">
        <v>340</v>
      </c>
      <c r="C283" t="s">
        <v>53</v>
      </c>
      <c r="D283" t="s">
        <v>461</v>
      </c>
    </row>
    <row r="284" spans="2:4" x14ac:dyDescent="0.35">
      <c r="B284" t="s">
        <v>341</v>
      </c>
      <c r="C284" t="s">
        <v>57</v>
      </c>
      <c r="D284" t="s">
        <v>461</v>
      </c>
    </row>
    <row r="285" spans="2:4" x14ac:dyDescent="0.35">
      <c r="B285" t="s">
        <v>342</v>
      </c>
      <c r="C285" t="s">
        <v>53</v>
      </c>
      <c r="D285" t="s">
        <v>461</v>
      </c>
    </row>
    <row r="286" spans="2:4" x14ac:dyDescent="0.35">
      <c r="B286" t="s">
        <v>343</v>
      </c>
      <c r="C286" t="s">
        <v>33</v>
      </c>
      <c r="D286" t="s">
        <v>461</v>
      </c>
    </row>
    <row r="287" spans="2:4" x14ac:dyDescent="0.35">
      <c r="B287" t="s">
        <v>344</v>
      </c>
      <c r="C287" t="s">
        <v>53</v>
      </c>
      <c r="D287" t="s">
        <v>461</v>
      </c>
    </row>
    <row r="288" spans="2:4" x14ac:dyDescent="0.35">
      <c r="B288" t="s">
        <v>345</v>
      </c>
      <c r="C288" t="s">
        <v>33</v>
      </c>
      <c r="D288" t="s">
        <v>461</v>
      </c>
    </row>
    <row r="289" spans="2:4" x14ac:dyDescent="0.35">
      <c r="B289" t="s">
        <v>346</v>
      </c>
      <c r="C289" t="s">
        <v>33</v>
      </c>
      <c r="D289" t="s">
        <v>461</v>
      </c>
    </row>
    <row r="290" spans="2:4" x14ac:dyDescent="0.35">
      <c r="B290" t="s">
        <v>347</v>
      </c>
      <c r="C290" t="s">
        <v>33</v>
      </c>
      <c r="D290" t="s">
        <v>461</v>
      </c>
    </row>
    <row r="291" spans="2:4" x14ac:dyDescent="0.35">
      <c r="B291" t="s">
        <v>348</v>
      </c>
      <c r="C291" t="s">
        <v>31</v>
      </c>
      <c r="D291" t="s">
        <v>461</v>
      </c>
    </row>
    <row r="292" spans="2:4" x14ac:dyDescent="0.35">
      <c r="B292" t="s">
        <v>349</v>
      </c>
      <c r="C292" t="s">
        <v>25</v>
      </c>
      <c r="D292" t="s">
        <v>462</v>
      </c>
    </row>
    <row r="293" spans="2:4" x14ac:dyDescent="0.35">
      <c r="B293" t="s">
        <v>350</v>
      </c>
      <c r="C293" t="s">
        <v>28</v>
      </c>
      <c r="D293" t="s">
        <v>462</v>
      </c>
    </row>
    <row r="294" spans="2:4" x14ac:dyDescent="0.35">
      <c r="B294" t="s">
        <v>351</v>
      </c>
      <c r="C294" t="s">
        <v>25</v>
      </c>
      <c r="D294" t="s">
        <v>462</v>
      </c>
    </row>
    <row r="295" spans="2:4" x14ac:dyDescent="0.35">
      <c r="B295" t="s">
        <v>352</v>
      </c>
      <c r="C295" t="s">
        <v>25</v>
      </c>
      <c r="D295" t="s">
        <v>462</v>
      </c>
    </row>
    <row r="296" spans="2:4" x14ac:dyDescent="0.35">
      <c r="B296" t="s">
        <v>353</v>
      </c>
      <c r="C296" t="s">
        <v>25</v>
      </c>
      <c r="D296" t="s">
        <v>462</v>
      </c>
    </row>
    <row r="297" spans="2:4" x14ac:dyDescent="0.35">
      <c r="B297" t="s">
        <v>354</v>
      </c>
      <c r="C297" t="s">
        <v>27</v>
      </c>
      <c r="D297" t="s">
        <v>462</v>
      </c>
    </row>
    <row r="298" spans="2:4" x14ac:dyDescent="0.35">
      <c r="B298" t="s">
        <v>355</v>
      </c>
      <c r="C298" t="s">
        <v>28</v>
      </c>
      <c r="D298" t="s">
        <v>462</v>
      </c>
    </row>
    <row r="299" spans="2:4" x14ac:dyDescent="0.35">
      <c r="B299" t="s">
        <v>356</v>
      </c>
      <c r="C299" t="s">
        <v>27</v>
      </c>
      <c r="D299" t="s">
        <v>462</v>
      </c>
    </row>
    <row r="300" spans="2:4" x14ac:dyDescent="0.35">
      <c r="B300" t="s">
        <v>357</v>
      </c>
      <c r="C300" t="s">
        <v>51</v>
      </c>
      <c r="D300" t="s">
        <v>462</v>
      </c>
    </row>
    <row r="301" spans="2:4" x14ac:dyDescent="0.35">
      <c r="B301" t="s">
        <v>358</v>
      </c>
      <c r="C301" t="s">
        <v>28</v>
      </c>
      <c r="D301" t="s">
        <v>462</v>
      </c>
    </row>
    <row r="302" spans="2:4" x14ac:dyDescent="0.35">
      <c r="B302" t="s">
        <v>359</v>
      </c>
      <c r="C302" t="s">
        <v>55</v>
      </c>
      <c r="D302" t="s">
        <v>462</v>
      </c>
    </row>
    <row r="303" spans="2:4" x14ac:dyDescent="0.35">
      <c r="B303" t="s">
        <v>360</v>
      </c>
      <c r="C303" t="s">
        <v>27</v>
      </c>
      <c r="D303" t="s">
        <v>462</v>
      </c>
    </row>
    <row r="304" spans="2:4" x14ac:dyDescent="0.35">
      <c r="B304" t="s">
        <v>361</v>
      </c>
      <c r="C304" t="s">
        <v>27</v>
      </c>
      <c r="D304" t="s">
        <v>462</v>
      </c>
    </row>
    <row r="305" spans="2:4" x14ac:dyDescent="0.35">
      <c r="B305" t="s">
        <v>362</v>
      </c>
      <c r="C305" t="s">
        <v>51</v>
      </c>
      <c r="D305" t="s">
        <v>462</v>
      </c>
    </row>
    <row r="306" spans="2:4" x14ac:dyDescent="0.35">
      <c r="B306" t="s">
        <v>363</v>
      </c>
      <c r="C306" t="s">
        <v>27</v>
      </c>
      <c r="D306" t="s">
        <v>463</v>
      </c>
    </row>
    <row r="307" spans="2:4" x14ac:dyDescent="0.35">
      <c r="B307" t="s">
        <v>364</v>
      </c>
      <c r="C307" t="s">
        <v>31</v>
      </c>
      <c r="D307" t="s">
        <v>463</v>
      </c>
    </row>
    <row r="308" spans="2:4" x14ac:dyDescent="0.35">
      <c r="B308" t="s">
        <v>365</v>
      </c>
      <c r="C308" t="s">
        <v>27</v>
      </c>
      <c r="D308" t="s">
        <v>463</v>
      </c>
    </row>
    <row r="309" spans="2:4" x14ac:dyDescent="0.35">
      <c r="B309" t="s">
        <v>366</v>
      </c>
      <c r="C309" t="s">
        <v>27</v>
      </c>
      <c r="D309" t="s">
        <v>463</v>
      </c>
    </row>
    <row r="310" spans="2:4" x14ac:dyDescent="0.35">
      <c r="B310" t="s">
        <v>367</v>
      </c>
      <c r="C310" t="s">
        <v>31</v>
      </c>
      <c r="D310" t="s">
        <v>463</v>
      </c>
    </row>
    <row r="311" spans="2:4" x14ac:dyDescent="0.35">
      <c r="B311" t="s">
        <v>368</v>
      </c>
      <c r="C311" t="s">
        <v>25</v>
      </c>
      <c r="D311" t="s">
        <v>463</v>
      </c>
    </row>
    <row r="312" spans="2:4" x14ac:dyDescent="0.35">
      <c r="B312" t="s">
        <v>369</v>
      </c>
      <c r="C312" t="s">
        <v>51</v>
      </c>
      <c r="D312" t="s">
        <v>463</v>
      </c>
    </row>
    <row r="313" spans="2:4" x14ac:dyDescent="0.35">
      <c r="B313" t="s">
        <v>370</v>
      </c>
      <c r="C313" t="s">
        <v>27</v>
      </c>
      <c r="D313" t="s">
        <v>464</v>
      </c>
    </row>
    <row r="314" spans="2:4" x14ac:dyDescent="0.35">
      <c r="B314" t="s">
        <v>371</v>
      </c>
      <c r="C314" t="s">
        <v>27</v>
      </c>
      <c r="D314" t="s">
        <v>464</v>
      </c>
    </row>
    <row r="315" spans="2:4" x14ac:dyDescent="0.35">
      <c r="B315" t="s">
        <v>372</v>
      </c>
      <c r="C315" t="s">
        <v>27</v>
      </c>
      <c r="D315" t="s">
        <v>464</v>
      </c>
    </row>
    <row r="316" spans="2:4" x14ac:dyDescent="0.35">
      <c r="B316" t="s">
        <v>373</v>
      </c>
      <c r="C316" t="s">
        <v>27</v>
      </c>
      <c r="D316" t="s">
        <v>465</v>
      </c>
    </row>
    <row r="317" spans="2:4" x14ac:dyDescent="0.35">
      <c r="B317" t="s">
        <v>374</v>
      </c>
      <c r="C317" t="s">
        <v>27</v>
      </c>
      <c r="D317" t="s">
        <v>465</v>
      </c>
    </row>
    <row r="318" spans="2:4" x14ac:dyDescent="0.35">
      <c r="B318" t="s">
        <v>375</v>
      </c>
      <c r="C318" t="s">
        <v>27</v>
      </c>
      <c r="D318" t="s">
        <v>466</v>
      </c>
    </row>
    <row r="319" spans="2:4" x14ac:dyDescent="0.35">
      <c r="B319" t="s">
        <v>376</v>
      </c>
      <c r="C319" t="s">
        <v>27</v>
      </c>
      <c r="D319" t="s">
        <v>466</v>
      </c>
    </row>
    <row r="320" spans="2:4" x14ac:dyDescent="0.35">
      <c r="B320" t="s">
        <v>377</v>
      </c>
      <c r="C320" t="s">
        <v>27</v>
      </c>
      <c r="D320" t="s">
        <v>466</v>
      </c>
    </row>
    <row r="321" spans="2:4" x14ac:dyDescent="0.35">
      <c r="B321" t="s">
        <v>378</v>
      </c>
      <c r="C321" t="s">
        <v>27</v>
      </c>
      <c r="D321" t="s">
        <v>466</v>
      </c>
    </row>
    <row r="322" spans="2:4" x14ac:dyDescent="0.35">
      <c r="B322" t="s">
        <v>379</v>
      </c>
      <c r="C322" t="s">
        <v>27</v>
      </c>
      <c r="D322" t="s">
        <v>466</v>
      </c>
    </row>
    <row r="323" spans="2:4" x14ac:dyDescent="0.35">
      <c r="B323" t="s">
        <v>380</v>
      </c>
      <c r="C323" t="s">
        <v>27</v>
      </c>
      <c r="D323" t="s">
        <v>466</v>
      </c>
    </row>
    <row r="324" spans="2:4" x14ac:dyDescent="0.35">
      <c r="B324" t="s">
        <v>381</v>
      </c>
      <c r="C324" t="s">
        <v>27</v>
      </c>
      <c r="D324" t="s">
        <v>467</v>
      </c>
    </row>
    <row r="325" spans="2:4" x14ac:dyDescent="0.35">
      <c r="B325" t="s">
        <v>382</v>
      </c>
      <c r="C325" t="s">
        <v>27</v>
      </c>
      <c r="D325" t="s">
        <v>467</v>
      </c>
    </row>
    <row r="326" spans="2:4" x14ac:dyDescent="0.35">
      <c r="B326" t="s">
        <v>383</v>
      </c>
      <c r="C326" t="s">
        <v>27</v>
      </c>
      <c r="D326" t="s">
        <v>467</v>
      </c>
    </row>
    <row r="327" spans="2:4" x14ac:dyDescent="0.35">
      <c r="B327" t="s">
        <v>384</v>
      </c>
      <c r="C327" t="s">
        <v>27</v>
      </c>
      <c r="D327" t="s">
        <v>467</v>
      </c>
    </row>
    <row r="328" spans="2:4" x14ac:dyDescent="0.35">
      <c r="B328" t="s">
        <v>385</v>
      </c>
      <c r="C328" t="s">
        <v>27</v>
      </c>
      <c r="D328" t="s">
        <v>467</v>
      </c>
    </row>
    <row r="329" spans="2:4" x14ac:dyDescent="0.35">
      <c r="B329" t="s">
        <v>386</v>
      </c>
      <c r="C329" t="s">
        <v>27</v>
      </c>
      <c r="D329" t="s">
        <v>467</v>
      </c>
    </row>
    <row r="330" spans="2:4" x14ac:dyDescent="0.35">
      <c r="B330" t="s">
        <v>387</v>
      </c>
      <c r="C330" t="s">
        <v>27</v>
      </c>
      <c r="D330" t="s">
        <v>468</v>
      </c>
    </row>
    <row r="331" spans="2:4" x14ac:dyDescent="0.35">
      <c r="B331" t="s">
        <v>388</v>
      </c>
      <c r="C331" t="s">
        <v>27</v>
      </c>
      <c r="D331" t="s">
        <v>468</v>
      </c>
    </row>
    <row r="332" spans="2:4" x14ac:dyDescent="0.35">
      <c r="B332" t="s">
        <v>389</v>
      </c>
      <c r="C332" t="s">
        <v>27</v>
      </c>
      <c r="D332" t="s">
        <v>468</v>
      </c>
    </row>
    <row r="333" spans="2:4" x14ac:dyDescent="0.35">
      <c r="B333" t="s">
        <v>390</v>
      </c>
      <c r="C333" t="s">
        <v>27</v>
      </c>
      <c r="D333" t="s">
        <v>468</v>
      </c>
    </row>
    <row r="334" spans="2:4" x14ac:dyDescent="0.35">
      <c r="B334" t="s">
        <v>391</v>
      </c>
      <c r="C334" t="s">
        <v>27</v>
      </c>
      <c r="D334" t="s">
        <v>468</v>
      </c>
    </row>
    <row r="335" spans="2:4" x14ac:dyDescent="0.35">
      <c r="B335" t="s">
        <v>392</v>
      </c>
      <c r="C335" t="s">
        <v>27</v>
      </c>
      <c r="D335" t="s">
        <v>468</v>
      </c>
    </row>
    <row r="336" spans="2:4" x14ac:dyDescent="0.35">
      <c r="B336" t="s">
        <v>393</v>
      </c>
      <c r="C336" t="s">
        <v>27</v>
      </c>
      <c r="D336" t="s">
        <v>469</v>
      </c>
    </row>
    <row r="337" spans="2:4" x14ac:dyDescent="0.35">
      <c r="B337" t="s">
        <v>394</v>
      </c>
      <c r="C337" t="s">
        <v>27</v>
      </c>
      <c r="D337" t="s">
        <v>469</v>
      </c>
    </row>
    <row r="338" spans="2:4" x14ac:dyDescent="0.35">
      <c r="B338" t="s">
        <v>395</v>
      </c>
      <c r="C338" t="s">
        <v>27</v>
      </c>
      <c r="D338" t="s">
        <v>469</v>
      </c>
    </row>
    <row r="339" spans="2:4" x14ac:dyDescent="0.35">
      <c r="B339" t="s">
        <v>396</v>
      </c>
      <c r="C339" t="s">
        <v>33</v>
      </c>
      <c r="D339" t="s">
        <v>469</v>
      </c>
    </row>
    <row r="340" spans="2:4" x14ac:dyDescent="0.35">
      <c r="B340" t="s">
        <v>397</v>
      </c>
      <c r="C340" t="s">
        <v>25</v>
      </c>
      <c r="D340" t="s">
        <v>469</v>
      </c>
    </row>
    <row r="341" spans="2:4" x14ac:dyDescent="0.35">
      <c r="B341" t="s">
        <v>398</v>
      </c>
      <c r="C341" t="s">
        <v>25</v>
      </c>
      <c r="D341" t="s">
        <v>469</v>
      </c>
    </row>
    <row r="342" spans="2:4" x14ac:dyDescent="0.35">
      <c r="B342" t="s">
        <v>399</v>
      </c>
      <c r="C342" t="s">
        <v>25</v>
      </c>
      <c r="D342" t="s">
        <v>469</v>
      </c>
    </row>
    <row r="343" spans="2:4" x14ac:dyDescent="0.35">
      <c r="B343" t="s">
        <v>400</v>
      </c>
      <c r="C343" t="s">
        <v>25</v>
      </c>
      <c r="D343" t="s">
        <v>469</v>
      </c>
    </row>
    <row r="344" spans="2:4" x14ac:dyDescent="0.35">
      <c r="B344" t="s">
        <v>401</v>
      </c>
      <c r="C344" t="s">
        <v>25</v>
      </c>
      <c r="D344" t="s">
        <v>469</v>
      </c>
    </row>
    <row r="345" spans="2:4" x14ac:dyDescent="0.35">
      <c r="B345" t="s">
        <v>402</v>
      </c>
      <c r="C345" t="s">
        <v>27</v>
      </c>
      <c r="D345" t="s">
        <v>469</v>
      </c>
    </row>
    <row r="346" spans="2:4" x14ac:dyDescent="0.35">
      <c r="B346" t="s">
        <v>403</v>
      </c>
      <c r="C346" t="s">
        <v>29</v>
      </c>
      <c r="D346" t="s">
        <v>469</v>
      </c>
    </row>
    <row r="347" spans="2:4" x14ac:dyDescent="0.35">
      <c r="B347" t="s">
        <v>404</v>
      </c>
      <c r="C347" t="s">
        <v>29</v>
      </c>
      <c r="D347" t="s">
        <v>469</v>
      </c>
    </row>
    <row r="348" spans="2:4" x14ac:dyDescent="0.35">
      <c r="B348" t="s">
        <v>405</v>
      </c>
      <c r="C348" t="s">
        <v>25</v>
      </c>
      <c r="D348" t="s">
        <v>469</v>
      </c>
    </row>
    <row r="349" spans="2:4" x14ac:dyDescent="0.35">
      <c r="B349" t="s">
        <v>406</v>
      </c>
      <c r="C349" t="s">
        <v>25</v>
      </c>
      <c r="D349" t="s">
        <v>469</v>
      </c>
    </row>
    <row r="350" spans="2:4" x14ac:dyDescent="0.35">
      <c r="B350" t="s">
        <v>407</v>
      </c>
      <c r="C350" t="s">
        <v>25</v>
      </c>
      <c r="D350" t="s">
        <v>469</v>
      </c>
    </row>
    <row r="351" spans="2:4" x14ac:dyDescent="0.35">
      <c r="B351" t="s">
        <v>408</v>
      </c>
      <c r="C351" t="s">
        <v>28</v>
      </c>
      <c r="D351" t="s">
        <v>469</v>
      </c>
    </row>
    <row r="352" spans="2:4" x14ac:dyDescent="0.35">
      <c r="B352" t="s">
        <v>409</v>
      </c>
      <c r="C352" t="s">
        <v>25</v>
      </c>
      <c r="D352" t="s">
        <v>469</v>
      </c>
    </row>
    <row r="353" spans="2:4" x14ac:dyDescent="0.35">
      <c r="B353" t="s">
        <v>410</v>
      </c>
      <c r="C353" t="s">
        <v>25</v>
      </c>
      <c r="D353" t="s">
        <v>469</v>
      </c>
    </row>
    <row r="354" spans="2:4" x14ac:dyDescent="0.35">
      <c r="B354" t="s">
        <v>411</v>
      </c>
      <c r="C354" t="s">
        <v>27</v>
      </c>
      <c r="D354" t="s">
        <v>469</v>
      </c>
    </row>
    <row r="355" spans="2:4" x14ac:dyDescent="0.35">
      <c r="B355" t="s">
        <v>412</v>
      </c>
      <c r="C355" t="s">
        <v>25</v>
      </c>
      <c r="D355" t="s">
        <v>469</v>
      </c>
    </row>
    <row r="356" spans="2:4" x14ac:dyDescent="0.35">
      <c r="B356" t="s">
        <v>413</v>
      </c>
      <c r="C356" t="s">
        <v>31</v>
      </c>
      <c r="D356" t="s">
        <v>469</v>
      </c>
    </row>
    <row r="357" spans="2:4" x14ac:dyDescent="0.35">
      <c r="B357" t="s">
        <v>414</v>
      </c>
      <c r="C357" t="s">
        <v>27</v>
      </c>
      <c r="D357" t="s">
        <v>469</v>
      </c>
    </row>
    <row r="358" spans="2:4" x14ac:dyDescent="0.35">
      <c r="B358" t="s">
        <v>415</v>
      </c>
      <c r="C358" t="s">
        <v>25</v>
      </c>
      <c r="D358" t="s">
        <v>469</v>
      </c>
    </row>
    <row r="359" spans="2:4" x14ac:dyDescent="0.35">
      <c r="B359" t="s">
        <v>416</v>
      </c>
      <c r="C359" t="s">
        <v>25</v>
      </c>
      <c r="D359" t="s">
        <v>469</v>
      </c>
    </row>
    <row r="360" spans="2:4" x14ac:dyDescent="0.35">
      <c r="B360" t="s">
        <v>417</v>
      </c>
      <c r="C360" t="s">
        <v>29</v>
      </c>
      <c r="D360" t="s">
        <v>469</v>
      </c>
    </row>
    <row r="361" spans="2:4" x14ac:dyDescent="0.35">
      <c r="B361" t="s">
        <v>418</v>
      </c>
      <c r="C361" t="s">
        <v>27</v>
      </c>
      <c r="D361" t="s">
        <v>470</v>
      </c>
    </row>
    <row r="362" spans="2:4" x14ac:dyDescent="0.35">
      <c r="B362" t="s">
        <v>419</v>
      </c>
      <c r="C362" t="s">
        <v>27</v>
      </c>
      <c r="D362" t="s">
        <v>470</v>
      </c>
    </row>
    <row r="363" spans="2:4" x14ac:dyDescent="0.35">
      <c r="B363" t="s">
        <v>420</v>
      </c>
      <c r="C363" t="s">
        <v>27</v>
      </c>
      <c r="D363" t="s">
        <v>470</v>
      </c>
    </row>
    <row r="364" spans="2:4" x14ac:dyDescent="0.35">
      <c r="B364" t="s">
        <v>421</v>
      </c>
      <c r="C364" t="s">
        <v>27</v>
      </c>
      <c r="D364" t="s">
        <v>471</v>
      </c>
    </row>
    <row r="365" spans="2:4" x14ac:dyDescent="0.35">
      <c r="B365" t="s">
        <v>422</v>
      </c>
      <c r="C365" t="s">
        <v>27</v>
      </c>
      <c r="D365" t="s">
        <v>471</v>
      </c>
    </row>
    <row r="366" spans="2:4" x14ac:dyDescent="0.35">
      <c r="B366" t="s">
        <v>423</v>
      </c>
      <c r="C366" t="s">
        <v>27</v>
      </c>
      <c r="D366" t="s">
        <v>471</v>
      </c>
    </row>
    <row r="367" spans="2:4" x14ac:dyDescent="0.35">
      <c r="B367" t="s">
        <v>424</v>
      </c>
      <c r="C367" t="s">
        <v>27</v>
      </c>
      <c r="D367" t="s">
        <v>471</v>
      </c>
    </row>
    <row r="368" spans="2:4" x14ac:dyDescent="0.35">
      <c r="B368" t="s">
        <v>425</v>
      </c>
      <c r="C368" t="s">
        <v>31</v>
      </c>
      <c r="D368" t="s">
        <v>471</v>
      </c>
    </row>
    <row r="369" spans="2:4" x14ac:dyDescent="0.35">
      <c r="B369" t="s">
        <v>426</v>
      </c>
      <c r="C369" t="s">
        <v>27</v>
      </c>
      <c r="D369" t="s">
        <v>472</v>
      </c>
    </row>
    <row r="370" spans="2:4" x14ac:dyDescent="0.35">
      <c r="B370" t="s">
        <v>427</v>
      </c>
      <c r="C370" t="s">
        <v>27</v>
      </c>
      <c r="D370" t="s">
        <v>472</v>
      </c>
    </row>
    <row r="371" spans="2:4" x14ac:dyDescent="0.35">
      <c r="B371" t="s">
        <v>428</v>
      </c>
      <c r="C371" t="s">
        <v>27</v>
      </c>
      <c r="D371" t="s">
        <v>472</v>
      </c>
    </row>
    <row r="372" spans="2:4" x14ac:dyDescent="0.35">
      <c r="B372" t="s">
        <v>429</v>
      </c>
      <c r="C372" t="s">
        <v>27</v>
      </c>
      <c r="D372" t="s">
        <v>472</v>
      </c>
    </row>
    <row r="373" spans="2:4" x14ac:dyDescent="0.35">
      <c r="B373" t="s">
        <v>473</v>
      </c>
      <c r="C373" s="7" t="s">
        <v>25</v>
      </c>
      <c r="D373" t="s">
        <v>435</v>
      </c>
    </row>
    <row r="374" spans="2:4" x14ac:dyDescent="0.35">
      <c r="B374" t="s">
        <v>474</v>
      </c>
      <c r="C374" s="7" t="s">
        <v>25</v>
      </c>
      <c r="D374" t="s">
        <v>435</v>
      </c>
    </row>
    <row r="375" spans="2:4" x14ac:dyDescent="0.35">
      <c r="B375" t="s">
        <v>475</v>
      </c>
      <c r="C375" s="7" t="s">
        <v>27</v>
      </c>
      <c r="D375" t="s">
        <v>435</v>
      </c>
    </row>
    <row r="376" spans="2:4" x14ac:dyDescent="0.35">
      <c r="B376" t="s">
        <v>476</v>
      </c>
      <c r="C376" s="7" t="s">
        <v>25</v>
      </c>
      <c r="D376" t="s">
        <v>435</v>
      </c>
    </row>
    <row r="377" spans="2:4" x14ac:dyDescent="0.35">
      <c r="B377" t="s">
        <v>477</v>
      </c>
      <c r="C377" s="7" t="s">
        <v>26</v>
      </c>
      <c r="D377" t="s">
        <v>436</v>
      </c>
    </row>
    <row r="378" spans="2:4" x14ac:dyDescent="0.35">
      <c r="B378" t="s">
        <v>478</v>
      </c>
      <c r="C378" s="7" t="s">
        <v>28</v>
      </c>
      <c r="D378" t="s">
        <v>436</v>
      </c>
    </row>
    <row r="379" spans="2:4" x14ac:dyDescent="0.35">
      <c r="B379" t="s">
        <v>479</v>
      </c>
      <c r="C379" s="7" t="s">
        <v>25</v>
      </c>
      <c r="D379" t="s">
        <v>436</v>
      </c>
    </row>
    <row r="380" spans="2:4" x14ac:dyDescent="0.35">
      <c r="B380" t="s">
        <v>480</v>
      </c>
      <c r="C380" s="7" t="s">
        <v>28</v>
      </c>
      <c r="D380" t="s">
        <v>436</v>
      </c>
    </row>
    <row r="381" spans="2:4" x14ac:dyDescent="0.35">
      <c r="B381" t="s">
        <v>481</v>
      </c>
      <c r="C381" s="7" t="s">
        <v>31</v>
      </c>
      <c r="D381" t="s">
        <v>436</v>
      </c>
    </row>
    <row r="382" spans="2:4" x14ac:dyDescent="0.35">
      <c r="B382" t="s">
        <v>482</v>
      </c>
      <c r="C382" s="7" t="s">
        <v>28</v>
      </c>
      <c r="D382" t="s">
        <v>436</v>
      </c>
    </row>
    <row r="383" spans="2:4" x14ac:dyDescent="0.35">
      <c r="B383" t="s">
        <v>483</v>
      </c>
      <c r="C383" s="7" t="s">
        <v>31</v>
      </c>
      <c r="D383" t="s">
        <v>436</v>
      </c>
    </row>
    <row r="384" spans="2:4" x14ac:dyDescent="0.35">
      <c r="B384" t="s">
        <v>484</v>
      </c>
      <c r="C384" t="s">
        <v>28</v>
      </c>
      <c r="D384" t="s">
        <v>436</v>
      </c>
    </row>
    <row r="385" spans="2:4" x14ac:dyDescent="0.35">
      <c r="B385" t="s">
        <v>485</v>
      </c>
      <c r="C385" s="7" t="s">
        <v>31</v>
      </c>
      <c r="D385" t="s">
        <v>436</v>
      </c>
    </row>
    <row r="386" spans="2:4" x14ac:dyDescent="0.35">
      <c r="B386" t="s">
        <v>486</v>
      </c>
      <c r="C386" s="7" t="s">
        <v>28</v>
      </c>
      <c r="D386" t="s">
        <v>436</v>
      </c>
    </row>
    <row r="387" spans="2:4" x14ac:dyDescent="0.35">
      <c r="B387" t="s">
        <v>487</v>
      </c>
      <c r="C387" s="7" t="s">
        <v>27</v>
      </c>
      <c r="D387" t="s">
        <v>438</v>
      </c>
    </row>
    <row r="388" spans="2:4" x14ac:dyDescent="0.35">
      <c r="B388" t="s">
        <v>488</v>
      </c>
      <c r="C388" s="7" t="s">
        <v>26</v>
      </c>
      <c r="D388" t="s">
        <v>440</v>
      </c>
    </row>
    <row r="389" spans="2:4" x14ac:dyDescent="0.35">
      <c r="B389" t="s">
        <v>489</v>
      </c>
      <c r="C389" s="7" t="s">
        <v>26</v>
      </c>
      <c r="D389" t="s">
        <v>440</v>
      </c>
    </row>
    <row r="390" spans="2:4" x14ac:dyDescent="0.35">
      <c r="B390" t="s">
        <v>490</v>
      </c>
      <c r="C390" s="7" t="s">
        <v>27</v>
      </c>
      <c r="D390" t="s">
        <v>442</v>
      </c>
    </row>
    <row r="391" spans="2:4" x14ac:dyDescent="0.35">
      <c r="B391" t="s">
        <v>491</v>
      </c>
      <c r="C391" s="7" t="s">
        <v>27</v>
      </c>
      <c r="D391" t="s">
        <v>442</v>
      </c>
    </row>
    <row r="392" spans="2:4" x14ac:dyDescent="0.35">
      <c r="B392" t="s">
        <v>492</v>
      </c>
      <c r="C392" s="7" t="s">
        <v>27</v>
      </c>
      <c r="D392" t="s">
        <v>442</v>
      </c>
    </row>
    <row r="393" spans="2:4" x14ac:dyDescent="0.35">
      <c r="B393" t="s">
        <v>493</v>
      </c>
      <c r="C393" s="7" t="s">
        <v>27</v>
      </c>
      <c r="D393" t="s">
        <v>442</v>
      </c>
    </row>
    <row r="394" spans="2:4" x14ac:dyDescent="0.35">
      <c r="B394" t="s">
        <v>494</v>
      </c>
      <c r="C394" s="7" t="s">
        <v>27</v>
      </c>
      <c r="D394" t="s">
        <v>442</v>
      </c>
    </row>
    <row r="395" spans="2:4" x14ac:dyDescent="0.35">
      <c r="B395" t="s">
        <v>495</v>
      </c>
      <c r="C395" s="7" t="s">
        <v>27</v>
      </c>
      <c r="D395" t="s">
        <v>442</v>
      </c>
    </row>
    <row r="396" spans="2:4" x14ac:dyDescent="0.35">
      <c r="B396" t="s">
        <v>496</v>
      </c>
      <c r="C396" s="7" t="s">
        <v>25</v>
      </c>
      <c r="D396" t="s">
        <v>445</v>
      </c>
    </row>
    <row r="397" spans="2:4" x14ac:dyDescent="0.35">
      <c r="B397" t="s">
        <v>497</v>
      </c>
      <c r="C397" s="7" t="s">
        <v>26</v>
      </c>
      <c r="D397" t="s">
        <v>445</v>
      </c>
    </row>
    <row r="398" spans="2:4" x14ac:dyDescent="0.35">
      <c r="B398" t="s">
        <v>498</v>
      </c>
      <c r="C398" s="7" t="s">
        <v>25</v>
      </c>
      <c r="D398" t="s">
        <v>445</v>
      </c>
    </row>
    <row r="399" spans="2:4" x14ac:dyDescent="0.35">
      <c r="B399" t="s">
        <v>499</v>
      </c>
      <c r="C399" s="7" t="s">
        <v>27</v>
      </c>
      <c r="D399" t="s">
        <v>446</v>
      </c>
    </row>
    <row r="400" spans="2:4" x14ac:dyDescent="0.35">
      <c r="B400" t="s">
        <v>500</v>
      </c>
      <c r="C400" s="7" t="s">
        <v>27</v>
      </c>
      <c r="D400" t="s">
        <v>447</v>
      </c>
    </row>
    <row r="401" spans="2:4" x14ac:dyDescent="0.35">
      <c r="B401" t="s">
        <v>501</v>
      </c>
      <c r="C401" s="7" t="s">
        <v>25</v>
      </c>
      <c r="D401" t="s">
        <v>447</v>
      </c>
    </row>
    <row r="402" spans="2:4" x14ac:dyDescent="0.35">
      <c r="B402" t="s">
        <v>502</v>
      </c>
      <c r="C402" s="7" t="s">
        <v>27</v>
      </c>
      <c r="D402" t="s">
        <v>449</v>
      </c>
    </row>
    <row r="403" spans="2:4" x14ac:dyDescent="0.35">
      <c r="B403" t="s">
        <v>503</v>
      </c>
      <c r="C403" s="7" t="s">
        <v>27</v>
      </c>
      <c r="D403" t="s">
        <v>449</v>
      </c>
    </row>
    <row r="404" spans="2:4" x14ac:dyDescent="0.35">
      <c r="B404" t="s">
        <v>504</v>
      </c>
      <c r="C404" s="7" t="s">
        <v>27</v>
      </c>
      <c r="D404" t="s">
        <v>449</v>
      </c>
    </row>
    <row r="405" spans="2:4" x14ac:dyDescent="0.35">
      <c r="B405" t="s">
        <v>505</v>
      </c>
      <c r="C405" s="7" t="s">
        <v>27</v>
      </c>
      <c r="D405" t="s">
        <v>449</v>
      </c>
    </row>
    <row r="406" spans="2:4" x14ac:dyDescent="0.35">
      <c r="B406" t="s">
        <v>506</v>
      </c>
      <c r="C406" s="7" t="s">
        <v>27</v>
      </c>
      <c r="D406" t="s">
        <v>449</v>
      </c>
    </row>
    <row r="407" spans="2:4" x14ac:dyDescent="0.35">
      <c r="B407" t="s">
        <v>507</v>
      </c>
      <c r="C407" s="7" t="s">
        <v>27</v>
      </c>
      <c r="D407" t="s">
        <v>449</v>
      </c>
    </row>
    <row r="408" spans="2:4" x14ac:dyDescent="0.35">
      <c r="B408" t="s">
        <v>508</v>
      </c>
      <c r="C408" s="7" t="s">
        <v>27</v>
      </c>
      <c r="D408" t="s">
        <v>450</v>
      </c>
    </row>
    <row r="409" spans="2:4" x14ac:dyDescent="0.35">
      <c r="B409" t="s">
        <v>509</v>
      </c>
      <c r="C409" t="s">
        <v>31</v>
      </c>
      <c r="D409" t="s">
        <v>451</v>
      </c>
    </row>
    <row r="410" spans="2:4" x14ac:dyDescent="0.35">
      <c r="B410" t="s">
        <v>510</v>
      </c>
      <c r="C410" s="7" t="s">
        <v>27</v>
      </c>
      <c r="D410" t="s">
        <v>451</v>
      </c>
    </row>
    <row r="411" spans="2:4" x14ac:dyDescent="0.35">
      <c r="B411" t="s">
        <v>511</v>
      </c>
      <c r="C411" s="7" t="s">
        <v>25</v>
      </c>
      <c r="D411" t="s">
        <v>451</v>
      </c>
    </row>
    <row r="412" spans="2:4" x14ac:dyDescent="0.35">
      <c r="B412" t="s">
        <v>512</v>
      </c>
      <c r="C412" s="7" t="s">
        <v>25</v>
      </c>
      <c r="D412" t="s">
        <v>453</v>
      </c>
    </row>
    <row r="413" spans="2:4" x14ac:dyDescent="0.35">
      <c r="B413" t="s">
        <v>513</v>
      </c>
      <c r="C413" s="7" t="s">
        <v>25</v>
      </c>
      <c r="D413" t="s">
        <v>453</v>
      </c>
    </row>
    <row r="414" spans="2:4" x14ac:dyDescent="0.35">
      <c r="B414" t="s">
        <v>514</v>
      </c>
      <c r="C414" s="7" t="s">
        <v>25</v>
      </c>
      <c r="D414" t="s">
        <v>453</v>
      </c>
    </row>
    <row r="415" spans="2:4" x14ac:dyDescent="0.35">
      <c r="B415" t="s">
        <v>515</v>
      </c>
      <c r="C415" s="7" t="s">
        <v>28</v>
      </c>
      <c r="D415" t="s">
        <v>453</v>
      </c>
    </row>
    <row r="416" spans="2:4" x14ac:dyDescent="0.35">
      <c r="B416" t="s">
        <v>516</v>
      </c>
      <c r="C416" s="7" t="s">
        <v>28</v>
      </c>
      <c r="D416" t="s">
        <v>453</v>
      </c>
    </row>
    <row r="417" spans="2:4" x14ac:dyDescent="0.35">
      <c r="B417" t="s">
        <v>517</v>
      </c>
      <c r="C417" s="7" t="s">
        <v>31</v>
      </c>
      <c r="D417" t="s">
        <v>454</v>
      </c>
    </row>
    <row r="418" spans="2:4" x14ac:dyDescent="0.35">
      <c r="B418" t="s">
        <v>518</v>
      </c>
      <c r="C418" t="s">
        <v>50</v>
      </c>
      <c r="D418" t="s">
        <v>454</v>
      </c>
    </row>
    <row r="419" spans="2:4" x14ac:dyDescent="0.35">
      <c r="B419" t="s">
        <v>519</v>
      </c>
      <c r="C419" t="s">
        <v>50</v>
      </c>
      <c r="D419" t="s">
        <v>454</v>
      </c>
    </row>
    <row r="420" spans="2:4" x14ac:dyDescent="0.35">
      <c r="B420" t="s">
        <v>520</v>
      </c>
      <c r="C420" t="s">
        <v>50</v>
      </c>
      <c r="D420" t="s">
        <v>454</v>
      </c>
    </row>
    <row r="421" spans="2:4" x14ac:dyDescent="0.35">
      <c r="B421" t="s">
        <v>521</v>
      </c>
      <c r="C421" s="7" t="s">
        <v>25</v>
      </c>
      <c r="D421" t="s">
        <v>456</v>
      </c>
    </row>
    <row r="422" spans="2:4" x14ac:dyDescent="0.35">
      <c r="B422" t="s">
        <v>522</v>
      </c>
      <c r="C422" s="7" t="s">
        <v>26</v>
      </c>
      <c r="D422" t="s">
        <v>456</v>
      </c>
    </row>
    <row r="423" spans="2:4" x14ac:dyDescent="0.35">
      <c r="B423" t="s">
        <v>523</v>
      </c>
      <c r="C423" s="7" t="s">
        <v>25</v>
      </c>
      <c r="D423" t="s">
        <v>457</v>
      </c>
    </row>
    <row r="424" spans="2:4" x14ac:dyDescent="0.35">
      <c r="B424" t="s">
        <v>524</v>
      </c>
      <c r="C424" s="7" t="s">
        <v>25</v>
      </c>
      <c r="D424" t="s">
        <v>457</v>
      </c>
    </row>
    <row r="425" spans="2:4" x14ac:dyDescent="0.35">
      <c r="B425" t="s">
        <v>525</v>
      </c>
      <c r="C425" s="20" t="s">
        <v>51</v>
      </c>
      <c r="D425" t="s">
        <v>457</v>
      </c>
    </row>
    <row r="426" spans="2:4" x14ac:dyDescent="0.35">
      <c r="B426" t="s">
        <v>526</v>
      </c>
      <c r="C426" s="20" t="s">
        <v>51</v>
      </c>
      <c r="D426" t="s">
        <v>457</v>
      </c>
    </row>
    <row r="427" spans="2:4" x14ac:dyDescent="0.35">
      <c r="B427" t="s">
        <v>527</v>
      </c>
      <c r="C427" s="7" t="s">
        <v>25</v>
      </c>
      <c r="D427" t="s">
        <v>457</v>
      </c>
    </row>
    <row r="428" spans="2:4" x14ac:dyDescent="0.35">
      <c r="B428" t="s">
        <v>528</v>
      </c>
      <c r="C428" s="7" t="s">
        <v>25</v>
      </c>
      <c r="D428" t="s">
        <v>457</v>
      </c>
    </row>
    <row r="429" spans="2:4" x14ac:dyDescent="0.35">
      <c r="B429" t="s">
        <v>529</v>
      </c>
      <c r="C429" s="7" t="s">
        <v>25</v>
      </c>
      <c r="D429" t="s">
        <v>457</v>
      </c>
    </row>
    <row r="430" spans="2:4" x14ac:dyDescent="0.35">
      <c r="B430" t="s">
        <v>530</v>
      </c>
      <c r="C430" t="s">
        <v>50</v>
      </c>
      <c r="D430" t="s">
        <v>457</v>
      </c>
    </row>
    <row r="431" spans="2:4" x14ac:dyDescent="0.35">
      <c r="B431" t="s">
        <v>531</v>
      </c>
      <c r="C431" s="7" t="s">
        <v>29</v>
      </c>
      <c r="D431" t="s">
        <v>457</v>
      </c>
    </row>
    <row r="432" spans="2:4" x14ac:dyDescent="0.35">
      <c r="B432" t="s">
        <v>532</v>
      </c>
      <c r="C432" s="7" t="s">
        <v>29</v>
      </c>
      <c r="D432" t="s">
        <v>457</v>
      </c>
    </row>
    <row r="433" spans="2:4" x14ac:dyDescent="0.35">
      <c r="B433" t="s">
        <v>533</v>
      </c>
      <c r="C433" s="7" t="s">
        <v>31</v>
      </c>
      <c r="D433" t="s">
        <v>458</v>
      </c>
    </row>
    <row r="434" spans="2:4" x14ac:dyDescent="0.35">
      <c r="B434" t="s">
        <v>534</v>
      </c>
      <c r="C434" s="7" t="s">
        <v>29</v>
      </c>
      <c r="D434" t="s">
        <v>459</v>
      </c>
    </row>
    <row r="435" spans="2:4" x14ac:dyDescent="0.35">
      <c r="B435" t="s">
        <v>535</v>
      </c>
      <c r="C435" s="7" t="s">
        <v>29</v>
      </c>
      <c r="D435" t="s">
        <v>459</v>
      </c>
    </row>
    <row r="436" spans="2:4" x14ac:dyDescent="0.35">
      <c r="B436" t="s">
        <v>536</v>
      </c>
      <c r="C436" s="7" t="s">
        <v>29</v>
      </c>
      <c r="D436" t="s">
        <v>459</v>
      </c>
    </row>
    <row r="437" spans="2:4" x14ac:dyDescent="0.35">
      <c r="B437" t="s">
        <v>537</v>
      </c>
      <c r="C437" s="7" t="s">
        <v>29</v>
      </c>
      <c r="D437" t="s">
        <v>459</v>
      </c>
    </row>
    <row r="438" spans="2:4" x14ac:dyDescent="0.35">
      <c r="B438" t="s">
        <v>538</v>
      </c>
      <c r="C438" s="7" t="s">
        <v>27</v>
      </c>
      <c r="D438" t="s">
        <v>460</v>
      </c>
    </row>
    <row r="439" spans="2:4" x14ac:dyDescent="0.35">
      <c r="B439" t="s">
        <v>539</v>
      </c>
      <c r="C439" s="7" t="s">
        <v>28</v>
      </c>
      <c r="D439" t="s">
        <v>460</v>
      </c>
    </row>
    <row r="440" spans="2:4" x14ac:dyDescent="0.35">
      <c r="B440" t="s">
        <v>540</v>
      </c>
      <c r="C440" t="s">
        <v>28</v>
      </c>
      <c r="D440" t="s">
        <v>461</v>
      </c>
    </row>
    <row r="441" spans="2:4" x14ac:dyDescent="0.35">
      <c r="B441" t="s">
        <v>541</v>
      </c>
      <c r="C441" t="s">
        <v>28</v>
      </c>
      <c r="D441" t="s">
        <v>461</v>
      </c>
    </row>
    <row r="442" spans="2:4" x14ac:dyDescent="0.35">
      <c r="B442" t="s">
        <v>542</v>
      </c>
      <c r="C442" t="s">
        <v>28</v>
      </c>
      <c r="D442" t="s">
        <v>461</v>
      </c>
    </row>
    <row r="443" spans="2:4" x14ac:dyDescent="0.35">
      <c r="B443" t="s">
        <v>543</v>
      </c>
      <c r="C443" t="s">
        <v>28</v>
      </c>
      <c r="D443" t="s">
        <v>461</v>
      </c>
    </row>
    <row r="444" spans="2:4" x14ac:dyDescent="0.35">
      <c r="B444" t="s">
        <v>544</v>
      </c>
      <c r="C444" s="7" t="s">
        <v>25</v>
      </c>
      <c r="D444" t="s">
        <v>462</v>
      </c>
    </row>
    <row r="445" spans="2:4" x14ac:dyDescent="0.35">
      <c r="B445" t="s">
        <v>545</v>
      </c>
      <c r="C445" s="7" t="s">
        <v>27</v>
      </c>
      <c r="D445" t="s">
        <v>462</v>
      </c>
    </row>
    <row r="446" spans="2:4" x14ac:dyDescent="0.35">
      <c r="B446" t="s">
        <v>546</v>
      </c>
      <c r="C446" s="7" t="s">
        <v>27</v>
      </c>
      <c r="D446" t="s">
        <v>462</v>
      </c>
    </row>
    <row r="447" spans="2:4" x14ac:dyDescent="0.35">
      <c r="B447" t="s">
        <v>547</v>
      </c>
      <c r="C447" s="7" t="s">
        <v>31</v>
      </c>
      <c r="D447" t="s">
        <v>463</v>
      </c>
    </row>
    <row r="448" spans="2:4" x14ac:dyDescent="0.35">
      <c r="B448" t="s">
        <v>548</v>
      </c>
      <c r="C448" s="7" t="s">
        <v>27</v>
      </c>
      <c r="D448" t="s">
        <v>468</v>
      </c>
    </row>
    <row r="449" spans="2:4" x14ac:dyDescent="0.35">
      <c r="B449" t="s">
        <v>549</v>
      </c>
      <c r="C449" s="7" t="s">
        <v>25</v>
      </c>
      <c r="D449" t="s">
        <v>469</v>
      </c>
    </row>
    <row r="450" spans="2:4" x14ac:dyDescent="0.35">
      <c r="B450" t="s">
        <v>550</v>
      </c>
      <c r="C450" t="s">
        <v>28</v>
      </c>
      <c r="D450" t="s">
        <v>469</v>
      </c>
    </row>
    <row r="451" spans="2:4" x14ac:dyDescent="0.35">
      <c r="B451" t="s">
        <v>551</v>
      </c>
      <c r="C451" s="7" t="s">
        <v>27</v>
      </c>
      <c r="D451" t="s">
        <v>554</v>
      </c>
    </row>
    <row r="452" spans="2:4" x14ac:dyDescent="0.35">
      <c r="B452" t="s">
        <v>552</v>
      </c>
      <c r="C452" s="7" t="s">
        <v>27</v>
      </c>
      <c r="D452" t="s">
        <v>472</v>
      </c>
    </row>
    <row r="453" spans="2:4" x14ac:dyDescent="0.35">
      <c r="B453" t="s">
        <v>553</v>
      </c>
      <c r="C453" s="7" t="s">
        <v>27</v>
      </c>
      <c r="D453" t="s">
        <v>472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91ABB-EB16-4F00-9815-6937A002FCBC}">
  <dimension ref="B2:D40"/>
  <sheetViews>
    <sheetView workbookViewId="0">
      <selection activeCell="F11" sqref="F11"/>
    </sheetView>
  </sheetViews>
  <sheetFormatPr defaultRowHeight="14.5" x14ac:dyDescent="0.35"/>
  <cols>
    <col min="2" max="2" width="16.54296875" bestFit="1" customWidth="1"/>
  </cols>
  <sheetData>
    <row r="2" spans="2:4" x14ac:dyDescent="0.35">
      <c r="B2" t="s">
        <v>434</v>
      </c>
      <c r="C2" t="s">
        <v>48</v>
      </c>
      <c r="D2" t="s">
        <v>49</v>
      </c>
    </row>
    <row r="3" spans="2:4" x14ac:dyDescent="0.35">
      <c r="B3" t="s">
        <v>435</v>
      </c>
      <c r="C3" s="21">
        <v>4.5999999999999999E-2</v>
      </c>
      <c r="D3" s="21">
        <v>0</v>
      </c>
    </row>
    <row r="4" spans="2:4" x14ac:dyDescent="0.35">
      <c r="B4" t="s">
        <v>436</v>
      </c>
      <c r="C4" s="21">
        <v>4.5999999999999999E-2</v>
      </c>
      <c r="D4" s="21">
        <v>0</v>
      </c>
    </row>
    <row r="5" spans="2:4" x14ac:dyDescent="0.35">
      <c r="B5" t="s">
        <v>437</v>
      </c>
      <c r="C5" s="21">
        <v>4.5999999999999999E-2</v>
      </c>
      <c r="D5" s="21">
        <v>0</v>
      </c>
    </row>
    <row r="6" spans="2:4" x14ac:dyDescent="0.35">
      <c r="B6" t="s">
        <v>438</v>
      </c>
      <c r="C6" s="21">
        <v>4.5999999999999999E-2</v>
      </c>
      <c r="D6" s="21">
        <v>0</v>
      </c>
    </row>
    <row r="7" spans="2:4" x14ac:dyDescent="0.35">
      <c r="B7" t="s">
        <v>439</v>
      </c>
      <c r="C7" s="21">
        <v>4.5999999999999999E-2</v>
      </c>
      <c r="D7" s="21">
        <v>0</v>
      </c>
    </row>
    <row r="8" spans="2:4" x14ac:dyDescent="0.35">
      <c r="B8" t="s">
        <v>440</v>
      </c>
      <c r="C8" s="21">
        <v>4.5999999999999999E-2</v>
      </c>
      <c r="D8" s="21">
        <v>0</v>
      </c>
    </row>
    <row r="9" spans="2:4" x14ac:dyDescent="0.35">
      <c r="B9" t="s">
        <v>441</v>
      </c>
      <c r="C9" s="21">
        <v>4.5999999999999999E-2</v>
      </c>
      <c r="D9" s="21">
        <v>0</v>
      </c>
    </row>
    <row r="10" spans="2:4" x14ac:dyDescent="0.35">
      <c r="B10" t="s">
        <v>442</v>
      </c>
      <c r="C10" s="21">
        <v>4.5999999999999999E-2</v>
      </c>
      <c r="D10" s="21">
        <v>0</v>
      </c>
    </row>
    <row r="11" spans="2:4" x14ac:dyDescent="0.35">
      <c r="B11" t="s">
        <v>443</v>
      </c>
      <c r="C11" s="21">
        <v>4.5999999999999999E-2</v>
      </c>
      <c r="D11" s="21">
        <v>0</v>
      </c>
    </row>
    <row r="12" spans="2:4" x14ac:dyDescent="0.35">
      <c r="B12" t="s">
        <v>444</v>
      </c>
      <c r="C12" s="21">
        <v>4.5999999999999999E-2</v>
      </c>
      <c r="D12" s="21">
        <v>0</v>
      </c>
    </row>
    <row r="13" spans="2:4" x14ac:dyDescent="0.35">
      <c r="B13" t="s">
        <v>445</v>
      </c>
      <c r="C13" s="21">
        <v>4.5999999999999999E-2</v>
      </c>
      <c r="D13" s="21">
        <v>0</v>
      </c>
    </row>
    <row r="14" spans="2:4" x14ac:dyDescent="0.35">
      <c r="B14" t="s">
        <v>446</v>
      </c>
      <c r="C14" s="21">
        <v>4.5999999999999999E-2</v>
      </c>
      <c r="D14" s="21">
        <v>0</v>
      </c>
    </row>
    <row r="15" spans="2:4" x14ac:dyDescent="0.35">
      <c r="B15" t="s">
        <v>447</v>
      </c>
      <c r="C15" s="21">
        <v>4.5999999999999999E-2</v>
      </c>
      <c r="D15" s="21">
        <v>0</v>
      </c>
    </row>
    <row r="16" spans="2:4" x14ac:dyDescent="0.35">
      <c r="B16" t="s">
        <v>448</v>
      </c>
      <c r="C16" s="21">
        <v>4.5999999999999999E-2</v>
      </c>
      <c r="D16" s="21">
        <v>0</v>
      </c>
    </row>
    <row r="17" spans="2:4" x14ac:dyDescent="0.35">
      <c r="B17" t="s">
        <v>449</v>
      </c>
      <c r="C17" s="21">
        <v>4.5999999999999999E-2</v>
      </c>
      <c r="D17" s="21">
        <v>0</v>
      </c>
    </row>
    <row r="18" spans="2:4" x14ac:dyDescent="0.35">
      <c r="B18" t="s">
        <v>450</v>
      </c>
      <c r="C18" s="21">
        <v>4.5999999999999999E-2</v>
      </c>
      <c r="D18" s="21">
        <v>0</v>
      </c>
    </row>
    <row r="19" spans="2:4" x14ac:dyDescent="0.35">
      <c r="B19" t="s">
        <v>451</v>
      </c>
      <c r="C19" s="21">
        <v>4.5999999999999999E-2</v>
      </c>
      <c r="D19" s="21">
        <v>0</v>
      </c>
    </row>
    <row r="20" spans="2:4" x14ac:dyDescent="0.35">
      <c r="B20" t="s">
        <v>452</v>
      </c>
      <c r="C20" s="21">
        <v>4.5999999999999999E-2</v>
      </c>
      <c r="D20" s="21">
        <v>0</v>
      </c>
    </row>
    <row r="21" spans="2:4" x14ac:dyDescent="0.35">
      <c r="B21" t="s">
        <v>453</v>
      </c>
      <c r="C21" s="21">
        <v>4.5999999999999999E-2</v>
      </c>
      <c r="D21" s="21">
        <v>0</v>
      </c>
    </row>
    <row r="22" spans="2:4" x14ac:dyDescent="0.35">
      <c r="B22" t="s">
        <v>454</v>
      </c>
      <c r="C22" s="21">
        <v>4.5999999999999999E-2</v>
      </c>
      <c r="D22" s="21">
        <v>0</v>
      </c>
    </row>
    <row r="23" spans="2:4" x14ac:dyDescent="0.35">
      <c r="B23" t="s">
        <v>455</v>
      </c>
      <c r="C23" s="21">
        <v>4.5999999999999999E-2</v>
      </c>
      <c r="D23" s="21">
        <v>0</v>
      </c>
    </row>
    <row r="24" spans="2:4" x14ac:dyDescent="0.35">
      <c r="B24" t="s">
        <v>456</v>
      </c>
      <c r="C24" s="21">
        <v>4.5999999999999999E-2</v>
      </c>
      <c r="D24" s="21">
        <v>0</v>
      </c>
    </row>
    <row r="25" spans="2:4" x14ac:dyDescent="0.35">
      <c r="B25" t="s">
        <v>457</v>
      </c>
      <c r="C25" s="21">
        <v>4.5999999999999999E-2</v>
      </c>
      <c r="D25" s="21">
        <v>0</v>
      </c>
    </row>
    <row r="26" spans="2:4" x14ac:dyDescent="0.35">
      <c r="B26" t="s">
        <v>458</v>
      </c>
      <c r="C26" s="21">
        <v>4.5999999999999999E-2</v>
      </c>
      <c r="D26" s="21">
        <v>0</v>
      </c>
    </row>
    <row r="27" spans="2:4" x14ac:dyDescent="0.35">
      <c r="B27" t="s">
        <v>459</v>
      </c>
      <c r="C27" s="21">
        <v>4.5999999999999999E-2</v>
      </c>
      <c r="D27" s="21">
        <v>0</v>
      </c>
    </row>
    <row r="28" spans="2:4" x14ac:dyDescent="0.35">
      <c r="B28" t="s">
        <v>460</v>
      </c>
      <c r="C28" s="21">
        <v>4.5999999999999999E-2</v>
      </c>
      <c r="D28" s="21">
        <v>0</v>
      </c>
    </row>
    <row r="29" spans="2:4" x14ac:dyDescent="0.35">
      <c r="B29" t="s">
        <v>461</v>
      </c>
      <c r="C29" s="21">
        <v>4.5999999999999999E-2</v>
      </c>
      <c r="D29" s="21">
        <v>0</v>
      </c>
    </row>
    <row r="30" spans="2:4" x14ac:dyDescent="0.35">
      <c r="B30" t="s">
        <v>462</v>
      </c>
      <c r="C30" s="21">
        <v>4.5999999999999999E-2</v>
      </c>
      <c r="D30" s="21">
        <v>0</v>
      </c>
    </row>
    <row r="31" spans="2:4" x14ac:dyDescent="0.35">
      <c r="B31" t="s">
        <v>463</v>
      </c>
      <c r="C31" s="21">
        <v>4.5999999999999999E-2</v>
      </c>
      <c r="D31" s="21">
        <v>0</v>
      </c>
    </row>
    <row r="32" spans="2:4" x14ac:dyDescent="0.35">
      <c r="B32" t="s">
        <v>464</v>
      </c>
      <c r="C32" s="21">
        <v>4.5999999999999999E-2</v>
      </c>
      <c r="D32" s="21">
        <v>0</v>
      </c>
    </row>
    <row r="33" spans="2:4" x14ac:dyDescent="0.35">
      <c r="B33" t="s">
        <v>465</v>
      </c>
      <c r="C33" s="21">
        <v>4.5999999999999999E-2</v>
      </c>
      <c r="D33" s="21">
        <v>0</v>
      </c>
    </row>
    <row r="34" spans="2:4" x14ac:dyDescent="0.35">
      <c r="B34" t="s">
        <v>466</v>
      </c>
      <c r="C34" s="21">
        <v>4.5999999999999999E-2</v>
      </c>
      <c r="D34" s="21">
        <v>0</v>
      </c>
    </row>
    <row r="35" spans="2:4" x14ac:dyDescent="0.35">
      <c r="B35" t="s">
        <v>467</v>
      </c>
      <c r="C35" s="21">
        <v>4.5999999999999999E-2</v>
      </c>
      <c r="D35" s="21">
        <v>0</v>
      </c>
    </row>
    <row r="36" spans="2:4" x14ac:dyDescent="0.35">
      <c r="B36" t="s">
        <v>468</v>
      </c>
      <c r="C36" s="21">
        <v>4.5999999999999999E-2</v>
      </c>
      <c r="D36" s="21">
        <v>0</v>
      </c>
    </row>
    <row r="37" spans="2:4" x14ac:dyDescent="0.35">
      <c r="B37" t="s">
        <v>469</v>
      </c>
      <c r="C37" s="21">
        <v>4.5999999999999999E-2</v>
      </c>
      <c r="D37" s="21">
        <v>0</v>
      </c>
    </row>
    <row r="38" spans="2:4" x14ac:dyDescent="0.35">
      <c r="B38" t="s">
        <v>470</v>
      </c>
      <c r="C38" s="21">
        <v>4.5999999999999999E-2</v>
      </c>
      <c r="D38" s="21">
        <v>0</v>
      </c>
    </row>
    <row r="39" spans="2:4" x14ac:dyDescent="0.35">
      <c r="B39" t="s">
        <v>471</v>
      </c>
      <c r="C39" s="21">
        <v>4.5999999999999999E-2</v>
      </c>
      <c r="D39" s="21">
        <v>0</v>
      </c>
    </row>
    <row r="40" spans="2:4" x14ac:dyDescent="0.35">
      <c r="B40" t="s">
        <v>472</v>
      </c>
      <c r="C40" s="21">
        <v>4.5999999999999999E-2</v>
      </c>
      <c r="D40" s="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4"/>
  <sheetViews>
    <sheetView zoomScale="68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22" sqref="G22"/>
    </sheetView>
  </sheetViews>
  <sheetFormatPr defaultColWidth="8.6328125" defaultRowHeight="14.5" x14ac:dyDescent="0.35"/>
  <cols>
    <col min="1" max="1" width="37.90625" bestFit="1" customWidth="1"/>
    <col min="2" max="30" width="12" customWidth="1"/>
    <col min="31" max="31" width="20" customWidth="1"/>
  </cols>
  <sheetData>
    <row r="1" spans="1:31" ht="4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40</v>
      </c>
      <c r="M1" s="2" t="s">
        <v>11</v>
      </c>
      <c r="N1" s="2" t="s">
        <v>41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43</v>
      </c>
      <c r="AA1" s="2" t="s">
        <v>12</v>
      </c>
      <c r="AB1" s="2" t="s">
        <v>44</v>
      </c>
      <c r="AC1" s="2" t="s">
        <v>45</v>
      </c>
      <c r="AD1" s="2" t="s">
        <v>46</v>
      </c>
      <c r="AE1" s="3" t="s">
        <v>47</v>
      </c>
    </row>
    <row r="2" spans="1:31" ht="19.5" customHeight="1" x14ac:dyDescent="0.35">
      <c r="A2" s="4" t="s">
        <v>24</v>
      </c>
      <c r="B2" s="5">
        <f>VLOOKUP(B1,'Activity Productivity'!$A$1:$D$31,4,0)</f>
        <v>8.0040000000000005E-4</v>
      </c>
      <c r="C2" s="5">
        <f>VLOOKUP(C1,'Activity Productivity'!$A$1:$D$31,4,0)</f>
        <v>4.5413999999999996E-4</v>
      </c>
      <c r="D2" s="5">
        <f>VLOOKUP(D1,'Activity Productivity'!$A$1:$D$31,4,0)</f>
        <v>2.8564999999999998E-4</v>
      </c>
      <c r="E2" s="5">
        <f>VLOOKUP(E1,'Activity Productivity'!$A$1:$D$31,4,0)</f>
        <v>1.3603899999999999E-3</v>
      </c>
      <c r="F2" s="5">
        <f>VLOOKUP(F1,'Activity Productivity'!$A$1:$D$31,4,0)</f>
        <v>1.33545E-3</v>
      </c>
      <c r="G2" s="5">
        <f>VLOOKUP(G1,'Activity Productivity'!$A$1:$D$31,4,0)</f>
        <v>1.0199300000000001E-3</v>
      </c>
      <c r="H2" s="5">
        <f>VLOOKUP(H1,'Activity Productivity'!$A$1:$D$31,4,0)</f>
        <v>2.3014399999999996E-3</v>
      </c>
      <c r="I2" s="5">
        <f>VLOOKUP(I1,'Activity Productivity'!$A$1:$D$31,4,0)</f>
        <v>1.2443899999999999E-3</v>
      </c>
      <c r="J2" s="5">
        <f>VLOOKUP(J1,'Activity Productivity'!$A$1:$D$31,4,0)</f>
        <v>2.2350299999999998E-3</v>
      </c>
      <c r="K2" s="5">
        <f>VLOOKUP(K1,'Activity Productivity'!$A$1:$D$31,4,0)</f>
        <v>2.3939499999999997E-3</v>
      </c>
      <c r="L2" s="5">
        <f>VLOOKUP(L1,'Activity Productivity'!$A$1:$D$31,4,0)</f>
        <v>3.3439899999999998E-3</v>
      </c>
      <c r="M2" s="5">
        <f>VLOOKUP(M1,'Activity Productivity'!$A$1:$D$31,4,0)</f>
        <v>2.8999999999999998E-3</v>
      </c>
      <c r="N2" s="5">
        <f>VLOOKUP(N1,'Activity Productivity'!$A$1:$D$31,4,0)</f>
        <v>3.3666099999999999E-3</v>
      </c>
      <c r="O2" s="5">
        <f>VLOOKUP(O1,'Activity Productivity'!$A$1:$D$31,4,0)</f>
        <v>1.6608299999999999E-3</v>
      </c>
      <c r="P2" s="5">
        <f>VLOOKUP(P1,'Activity Productivity'!$A$1:$D$31,4,0)</f>
        <v>1.2133599999999999E-3</v>
      </c>
      <c r="Q2" s="5">
        <f>VLOOKUP(Q1,'Activity Productivity'!$A$1:$D$31,4,0)</f>
        <v>1.86093E-3</v>
      </c>
      <c r="R2" s="5">
        <f>VLOOKUP(R1,'Activity Productivity'!$A$1:$D$31,4,0)</f>
        <v>2.7335399999999996E-3</v>
      </c>
      <c r="S2" s="5">
        <f>VLOOKUP(S1,'Activity Productivity'!$A$1:$D$31,4,0)</f>
        <v>2.3840900000000002E-3</v>
      </c>
      <c r="T2" s="5">
        <f>VLOOKUP(T1,'Activity Productivity'!$A$1:$D$31,4,0)</f>
        <v>3.6626999999999997E-4</v>
      </c>
      <c r="U2" s="5">
        <f>VLOOKUP(U1,'Activity Productivity'!$A$1:$D$31,4,0)</f>
        <v>5.6114999999999995E-4</v>
      </c>
      <c r="V2" s="5">
        <f>VLOOKUP(V1,'Activity Productivity'!$A$1:$D$31,4,0)</f>
        <v>5.8E-4</v>
      </c>
      <c r="W2" s="5">
        <f>VLOOKUP(W1,'Activity Productivity'!$A$1:$D$31,4,0)</f>
        <v>2.8999999999999998E-3</v>
      </c>
      <c r="X2" s="5">
        <f>VLOOKUP(X1,'Activity Productivity'!$A$1:$D$31,4,0)</f>
        <v>2.3939499999999997E-3</v>
      </c>
      <c r="Y2" s="5">
        <f>VLOOKUP(Y1,'Activity Productivity'!$A$1:$D$31,4,0)</f>
        <v>2.8999999999999998E-3</v>
      </c>
      <c r="Z2" s="5">
        <f>VLOOKUP(Z1,'Activity Productivity'!$A$1:$D$31,4,0)</f>
        <v>1.4406148520899999E-2</v>
      </c>
      <c r="AA2" s="5">
        <f>VLOOKUP(AA1,'Activity Productivity'!$A$1:$D$31,4,0)</f>
        <v>7.8871299999999991E-3</v>
      </c>
      <c r="AB2" s="5">
        <f>VLOOKUP(AB1,'Activity Productivity'!$A$1:$D$31,4,0)</f>
        <v>2.4487569196199998E-2</v>
      </c>
      <c r="AC2" s="5">
        <f>VLOOKUP(AC1,'Activity Productivity'!$A$1:$D$31,4,0)</f>
        <v>5.1417174492999996E-3</v>
      </c>
      <c r="AD2" s="5">
        <f>VLOOKUP(AD1,'Activity Productivity'!$A$1:$D$31,4,0)</f>
        <v>8.1726819393999998E-3</v>
      </c>
      <c r="AE2" s="6"/>
    </row>
    <row r="3" spans="1:31" x14ac:dyDescent="0.35">
      <c r="A3" s="7" t="s">
        <v>25</v>
      </c>
      <c r="B3" s="8"/>
      <c r="C3" s="8"/>
      <c r="D3" s="8">
        <v>1</v>
      </c>
      <c r="E3" s="8">
        <v>1</v>
      </c>
      <c r="F3" s="9"/>
      <c r="G3" s="9"/>
      <c r="H3" s="8">
        <v>0.2</v>
      </c>
      <c r="I3" s="10">
        <v>0.08</v>
      </c>
      <c r="J3" s="8">
        <v>1</v>
      </c>
      <c r="K3" s="9"/>
      <c r="L3" s="9"/>
      <c r="M3" s="8">
        <v>1</v>
      </c>
      <c r="N3" s="8"/>
      <c r="O3" s="9"/>
      <c r="P3" s="9"/>
      <c r="Q3" s="9"/>
      <c r="R3" s="9"/>
      <c r="S3" s="9"/>
      <c r="T3" s="9"/>
      <c r="U3" s="9"/>
      <c r="V3" s="9"/>
      <c r="W3" s="9"/>
      <c r="X3" s="10">
        <v>0.05</v>
      </c>
      <c r="Y3" s="10">
        <v>0.05</v>
      </c>
      <c r="Z3" s="10"/>
      <c r="AA3" s="10"/>
      <c r="AB3" s="10"/>
      <c r="AC3" s="10"/>
      <c r="AD3" s="10"/>
      <c r="AE3" s="11">
        <f>SUMPRODUCT(B3:AD3, $B$2:$AD$2)</f>
        <v>7.6056066999999989E-3</v>
      </c>
    </row>
    <row r="4" spans="1:31" x14ac:dyDescent="0.35">
      <c r="A4" s="7" t="s">
        <v>26</v>
      </c>
      <c r="B4" s="8"/>
      <c r="C4" s="8"/>
      <c r="D4" s="8">
        <v>1</v>
      </c>
      <c r="E4" s="8">
        <v>1</v>
      </c>
      <c r="F4" s="9"/>
      <c r="G4" s="9"/>
      <c r="H4" s="8">
        <v>0.2</v>
      </c>
      <c r="I4" s="10">
        <v>0.15</v>
      </c>
      <c r="J4" s="9"/>
      <c r="K4" s="8">
        <v>1</v>
      </c>
      <c r="L4" s="8"/>
      <c r="M4" s="8">
        <v>1</v>
      </c>
      <c r="N4" s="8"/>
      <c r="O4" s="9"/>
      <c r="P4" s="9"/>
      <c r="Q4" s="9"/>
      <c r="R4" s="9"/>
      <c r="S4" s="9"/>
      <c r="T4" s="9"/>
      <c r="U4" s="9"/>
      <c r="V4" s="9"/>
      <c r="W4" s="9"/>
      <c r="X4" s="10">
        <v>0.05</v>
      </c>
      <c r="Y4" s="10">
        <v>0.05</v>
      </c>
      <c r="Z4" s="10"/>
      <c r="AA4" s="10"/>
      <c r="AB4" s="10"/>
      <c r="AC4" s="10"/>
      <c r="AD4" s="10"/>
      <c r="AE4" s="11">
        <f t="shared" ref="AE4:AE15" si="0">SUMPRODUCT(B4:AD4, $B$2:$AD$2)</f>
        <v>7.851633999999998E-3</v>
      </c>
    </row>
    <row r="5" spans="1:31" x14ac:dyDescent="0.35">
      <c r="A5" s="7" t="s">
        <v>27</v>
      </c>
      <c r="B5" s="8"/>
      <c r="C5" s="8"/>
      <c r="D5" s="8">
        <v>1</v>
      </c>
      <c r="E5" s="8">
        <v>1</v>
      </c>
      <c r="F5" s="8">
        <v>1</v>
      </c>
      <c r="G5" s="9"/>
      <c r="H5" s="9"/>
      <c r="I5" s="9"/>
      <c r="J5" s="9"/>
      <c r="K5" s="9"/>
      <c r="L5" s="9"/>
      <c r="M5" s="8">
        <v>1</v>
      </c>
      <c r="N5" s="8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1">
        <f t="shared" si="0"/>
        <v>5.8814899999999996E-3</v>
      </c>
    </row>
    <row r="6" spans="1:31" x14ac:dyDescent="0.35">
      <c r="A6" s="7" t="s">
        <v>28</v>
      </c>
      <c r="B6" s="8"/>
      <c r="C6" s="8"/>
      <c r="D6" s="8">
        <v>1</v>
      </c>
      <c r="E6" s="8">
        <v>1</v>
      </c>
      <c r="F6" s="9"/>
      <c r="G6" s="9"/>
      <c r="H6" s="9"/>
      <c r="I6" s="9"/>
      <c r="J6" s="9"/>
      <c r="K6" s="9"/>
      <c r="L6" s="9"/>
      <c r="M6" s="9"/>
      <c r="N6" s="9"/>
      <c r="O6" s="8">
        <v>1</v>
      </c>
      <c r="P6" s="10">
        <v>0.5</v>
      </c>
      <c r="Q6" s="10">
        <v>0.05</v>
      </c>
      <c r="R6" s="8">
        <v>1</v>
      </c>
      <c r="S6" s="8">
        <v>1</v>
      </c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11">
        <f t="shared" si="0"/>
        <v>9.1242264999999989E-3</v>
      </c>
    </row>
    <row r="7" spans="1:31" x14ac:dyDescent="0.35">
      <c r="A7" s="7" t="s">
        <v>29</v>
      </c>
      <c r="B7" s="8"/>
      <c r="C7" s="8"/>
      <c r="D7" s="8">
        <v>1</v>
      </c>
      <c r="E7" s="8">
        <v>1</v>
      </c>
      <c r="F7" s="9"/>
      <c r="G7" s="9"/>
      <c r="H7" s="9"/>
      <c r="I7" s="9"/>
      <c r="J7" s="9"/>
      <c r="K7" s="9"/>
      <c r="L7" s="8">
        <v>1</v>
      </c>
      <c r="M7" s="8">
        <v>0</v>
      </c>
      <c r="N7" s="8">
        <v>1</v>
      </c>
      <c r="O7" s="9"/>
      <c r="P7" s="9"/>
      <c r="Q7" s="9"/>
      <c r="R7" s="9"/>
      <c r="S7" s="9"/>
      <c r="T7" s="9"/>
      <c r="U7" s="9"/>
      <c r="V7" s="9"/>
      <c r="W7" s="8">
        <v>1</v>
      </c>
      <c r="X7" s="9"/>
      <c r="Y7" s="9"/>
      <c r="Z7" s="9"/>
      <c r="AA7" s="9"/>
      <c r="AB7" s="9"/>
      <c r="AC7" s="9"/>
      <c r="AD7" s="9"/>
      <c r="AE7" s="11">
        <f t="shared" si="0"/>
        <v>1.1256639999999998E-2</v>
      </c>
    </row>
    <row r="8" spans="1:31" x14ac:dyDescent="0.35">
      <c r="A8" s="7" t="s">
        <v>30</v>
      </c>
      <c r="B8" s="8"/>
      <c r="C8" s="8"/>
      <c r="D8" s="8"/>
      <c r="E8" s="8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9">
        <v>1</v>
      </c>
      <c r="AA8" s="19">
        <v>1</v>
      </c>
      <c r="AB8" s="19">
        <v>1</v>
      </c>
      <c r="AC8" s="19">
        <v>1</v>
      </c>
      <c r="AD8" s="19">
        <v>1</v>
      </c>
      <c r="AE8" s="11">
        <f t="shared" si="0"/>
        <v>6.0095247105799984E-2</v>
      </c>
    </row>
    <row r="9" spans="1:31" x14ac:dyDescent="0.35">
      <c r="A9" s="7" t="s">
        <v>31</v>
      </c>
      <c r="B9" s="8"/>
      <c r="C9" s="8"/>
      <c r="D9" s="8">
        <v>1</v>
      </c>
      <c r="E9" s="8">
        <v>1</v>
      </c>
      <c r="F9" s="9"/>
      <c r="G9" s="9"/>
      <c r="H9" s="9"/>
      <c r="I9" s="9"/>
      <c r="J9" s="9"/>
      <c r="K9" s="8">
        <v>1</v>
      </c>
      <c r="L9" s="8"/>
      <c r="M9" s="8">
        <v>1</v>
      </c>
      <c r="N9" s="8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11">
        <f t="shared" si="0"/>
        <v>6.9399899999999992E-3</v>
      </c>
    </row>
    <row r="10" spans="1:31" x14ac:dyDescent="0.35">
      <c r="A10" s="7" t="s">
        <v>32</v>
      </c>
      <c r="B10" s="8"/>
      <c r="C10" s="8"/>
      <c r="D10" s="8">
        <v>1</v>
      </c>
      <c r="E10" s="9"/>
      <c r="F10" s="8">
        <v>1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11">
        <f t="shared" si="0"/>
        <v>1.6210999999999999E-3</v>
      </c>
    </row>
    <row r="11" spans="1:31" x14ac:dyDescent="0.35">
      <c r="A11" s="7" t="s">
        <v>33</v>
      </c>
      <c r="B11" s="8"/>
      <c r="C11" s="8"/>
      <c r="D11" s="8">
        <v>1</v>
      </c>
      <c r="E11" s="8">
        <v>1</v>
      </c>
      <c r="F11" s="9"/>
      <c r="G11" s="9"/>
      <c r="H11" s="9"/>
      <c r="I11" s="9"/>
      <c r="J11" s="9"/>
      <c r="K11" s="9"/>
      <c r="L11" s="9"/>
      <c r="M11" s="10">
        <v>0.9</v>
      </c>
      <c r="N11" s="10"/>
      <c r="O11" s="9"/>
      <c r="P11" s="9"/>
      <c r="Q11" s="9"/>
      <c r="R11" s="9"/>
      <c r="S11" s="9"/>
      <c r="T11" s="8">
        <v>1</v>
      </c>
      <c r="U11" s="8">
        <v>1</v>
      </c>
      <c r="V11" s="9"/>
      <c r="W11" s="9"/>
      <c r="X11" s="10">
        <v>0.1</v>
      </c>
      <c r="Y11" s="10">
        <v>0.1</v>
      </c>
      <c r="Z11" s="10"/>
      <c r="AA11" s="10"/>
      <c r="AB11" s="10"/>
      <c r="AC11" s="10"/>
      <c r="AD11" s="10"/>
      <c r="AE11" s="11">
        <f t="shared" si="0"/>
        <v>5.7128550000000002E-3</v>
      </c>
    </row>
    <row r="12" spans="1:31" x14ac:dyDescent="0.35">
      <c r="A12" s="7" t="s">
        <v>52</v>
      </c>
      <c r="B12" s="8"/>
      <c r="C12" s="8"/>
      <c r="D12" s="8">
        <v>1</v>
      </c>
      <c r="E12" s="8">
        <v>1</v>
      </c>
      <c r="F12" s="9"/>
      <c r="G12" s="9"/>
      <c r="H12" s="9"/>
      <c r="I12" s="9"/>
      <c r="J12" s="9"/>
      <c r="K12" s="9"/>
      <c r="L12" s="9"/>
      <c r="M12" s="12">
        <v>0</v>
      </c>
      <c r="N12" s="12"/>
      <c r="O12" s="9"/>
      <c r="P12" s="9"/>
      <c r="Q12" s="9"/>
      <c r="R12" s="9"/>
      <c r="S12" s="9"/>
      <c r="T12" s="8">
        <v>1</v>
      </c>
      <c r="U12" s="8">
        <v>1</v>
      </c>
      <c r="V12" s="10">
        <v>0.94</v>
      </c>
      <c r="W12" s="9"/>
      <c r="X12" s="10">
        <v>0.06</v>
      </c>
      <c r="Y12" s="10">
        <v>0.06</v>
      </c>
      <c r="Z12" s="10"/>
      <c r="AA12" s="10"/>
      <c r="AB12" s="10"/>
      <c r="AC12" s="10"/>
      <c r="AD12" s="10"/>
      <c r="AE12" s="11">
        <f t="shared" si="0"/>
        <v>3.4362969999999996E-3</v>
      </c>
    </row>
    <row r="13" spans="1:31" x14ac:dyDescent="0.35">
      <c r="A13" s="7" t="s">
        <v>57</v>
      </c>
      <c r="B13" s="8"/>
      <c r="C13" s="8"/>
      <c r="D13" s="8">
        <v>1</v>
      </c>
      <c r="E13" s="9"/>
      <c r="F13" s="9"/>
      <c r="G13" s="8">
        <v>1</v>
      </c>
      <c r="H13" s="9"/>
      <c r="I13" s="9"/>
      <c r="J13" s="9"/>
      <c r="K13" s="9"/>
      <c r="L13" s="9"/>
      <c r="M13" s="10">
        <v>0.9</v>
      </c>
      <c r="N13" s="10"/>
      <c r="O13" s="9"/>
      <c r="P13" s="9"/>
      <c r="Q13" s="9"/>
      <c r="R13" s="9"/>
      <c r="S13" s="9"/>
      <c r="T13" s="8">
        <v>1</v>
      </c>
      <c r="U13" s="8">
        <v>1</v>
      </c>
      <c r="V13" s="9"/>
      <c r="W13" s="9"/>
      <c r="X13" s="10">
        <v>0.1</v>
      </c>
      <c r="Y13" s="10">
        <v>0.1</v>
      </c>
      <c r="Z13" s="10"/>
      <c r="AA13" s="10"/>
      <c r="AB13" s="10"/>
      <c r="AC13" s="10"/>
      <c r="AD13" s="10"/>
      <c r="AE13" s="11">
        <f t="shared" si="0"/>
        <v>5.3723950000000003E-3</v>
      </c>
    </row>
    <row r="14" spans="1:31" x14ac:dyDescent="0.35">
      <c r="A14" s="7" t="s">
        <v>53</v>
      </c>
      <c r="B14" s="8"/>
      <c r="C14" s="8"/>
      <c r="D14" s="8">
        <v>1</v>
      </c>
      <c r="E14" s="9"/>
      <c r="F14" s="9"/>
      <c r="G14" s="8">
        <v>1</v>
      </c>
      <c r="H14" s="9"/>
      <c r="I14" s="9"/>
      <c r="J14" s="9"/>
      <c r="K14" s="9"/>
      <c r="L14" s="9"/>
      <c r="M14" s="12">
        <v>0</v>
      </c>
      <c r="N14" s="12"/>
      <c r="O14" s="9"/>
      <c r="P14" s="9"/>
      <c r="Q14" s="9"/>
      <c r="R14" s="9"/>
      <c r="S14" s="9"/>
      <c r="T14" s="8">
        <v>1</v>
      </c>
      <c r="U14" s="8">
        <v>1</v>
      </c>
      <c r="V14" s="10">
        <v>0.94</v>
      </c>
      <c r="W14" s="9"/>
      <c r="X14" s="10">
        <v>0.06</v>
      </c>
      <c r="Y14" s="10">
        <v>0.06</v>
      </c>
      <c r="Z14" s="10"/>
      <c r="AA14" s="10"/>
      <c r="AB14" s="10"/>
      <c r="AC14" s="10"/>
      <c r="AD14" s="10"/>
      <c r="AE14" s="11">
        <f t="shared" si="0"/>
        <v>3.0958369999999997E-3</v>
      </c>
    </row>
    <row r="15" spans="1:31" x14ac:dyDescent="0.35">
      <c r="A15" s="7" t="s">
        <v>34</v>
      </c>
      <c r="B15" s="8"/>
      <c r="C15" s="8"/>
      <c r="D15" s="8">
        <v>1</v>
      </c>
      <c r="E15" s="9"/>
      <c r="F15" s="9"/>
      <c r="G15" s="8">
        <v>1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11">
        <f t="shared" si="0"/>
        <v>1.30558E-3</v>
      </c>
    </row>
    <row r="16" spans="1:31" x14ac:dyDescent="0.35">
      <c r="A16" s="20" t="s">
        <v>51</v>
      </c>
      <c r="B16" s="8"/>
      <c r="C16" s="8"/>
      <c r="D16" s="8">
        <v>1</v>
      </c>
      <c r="E16" s="8">
        <v>1</v>
      </c>
      <c r="F16" s="9"/>
      <c r="G16" s="9"/>
      <c r="H16" s="9"/>
      <c r="I16" s="9"/>
      <c r="J16" s="9"/>
      <c r="K16" s="8">
        <v>1</v>
      </c>
      <c r="L16" s="8"/>
      <c r="M16" s="8">
        <v>1</v>
      </c>
      <c r="N16" s="8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11">
        <f t="shared" ref="AE16" si="1">SUMPRODUCT(B16:AD16, $B$2:$AD$2)</f>
        <v>6.9399899999999992E-3</v>
      </c>
    </row>
    <row r="17" spans="1:31" x14ac:dyDescent="0.35">
      <c r="A17" s="20" t="s">
        <v>50</v>
      </c>
      <c r="B17" s="8"/>
      <c r="C17" s="8"/>
      <c r="D17" s="8">
        <v>1</v>
      </c>
      <c r="E17" s="8">
        <v>0</v>
      </c>
      <c r="F17" s="9"/>
      <c r="G17" s="9"/>
      <c r="H17" s="9"/>
      <c r="I17" s="9"/>
      <c r="J17" s="9"/>
      <c r="K17" s="8">
        <v>1</v>
      </c>
      <c r="L17" s="8"/>
      <c r="M17" s="8">
        <v>0</v>
      </c>
      <c r="N17" s="8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11">
        <f t="shared" ref="AE17:AE24" si="2">SUMPRODUCT(B17:AD17, $B$2:$AD$2)</f>
        <v>2.6795999999999999E-3</v>
      </c>
    </row>
    <row r="18" spans="1:31" x14ac:dyDescent="0.35">
      <c r="A18" s="20" t="s">
        <v>54</v>
      </c>
      <c r="B18" s="8"/>
      <c r="C18" s="8"/>
      <c r="D18" s="8">
        <v>1</v>
      </c>
      <c r="E18" s="8">
        <v>1</v>
      </c>
      <c r="F18" s="8">
        <v>1</v>
      </c>
      <c r="G18" s="9"/>
      <c r="H18" s="9"/>
      <c r="I18" s="9"/>
      <c r="J18" s="9"/>
      <c r="K18" s="9"/>
      <c r="L18" s="9"/>
      <c r="M18" s="8">
        <v>0</v>
      </c>
      <c r="N18" s="8"/>
      <c r="O18" s="8">
        <v>1</v>
      </c>
      <c r="P18" s="10">
        <v>0.5</v>
      </c>
      <c r="Q18" s="10">
        <v>0.05</v>
      </c>
      <c r="R18" s="8">
        <v>1</v>
      </c>
      <c r="S18" s="8">
        <v>1</v>
      </c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11">
        <f t="shared" si="2"/>
        <v>1.0459676499999999E-2</v>
      </c>
    </row>
    <row r="19" spans="1:31" x14ac:dyDescent="0.35">
      <c r="A19" s="7" t="s">
        <v>56</v>
      </c>
      <c r="B19" s="8"/>
      <c r="C19" s="8"/>
      <c r="D19" s="8">
        <v>1</v>
      </c>
      <c r="E19" s="8">
        <v>1</v>
      </c>
      <c r="F19" s="9"/>
      <c r="G19" s="9"/>
      <c r="H19" s="9"/>
      <c r="I19" s="9"/>
      <c r="J19" s="9"/>
      <c r="K19" s="9"/>
      <c r="L19" s="9"/>
      <c r="M19" s="10"/>
      <c r="N19" s="10"/>
      <c r="O19" s="19">
        <v>1</v>
      </c>
      <c r="P19" s="9"/>
      <c r="Q19" s="9"/>
      <c r="R19" s="9"/>
      <c r="S19" s="10">
        <v>0.9</v>
      </c>
      <c r="T19" s="8">
        <v>1</v>
      </c>
      <c r="U19" s="8">
        <v>1</v>
      </c>
      <c r="V19" s="9"/>
      <c r="W19" s="9"/>
      <c r="X19" s="10">
        <v>0.1</v>
      </c>
      <c r="Y19" s="10">
        <v>0.1</v>
      </c>
      <c r="AE19" s="11">
        <f t="shared" si="2"/>
        <v>6.9093660000000001E-3</v>
      </c>
    </row>
    <row r="20" spans="1:31" x14ac:dyDescent="0.35">
      <c r="A20" s="20" t="s">
        <v>58</v>
      </c>
      <c r="B20" s="8"/>
      <c r="C20" s="8"/>
      <c r="D20" s="8">
        <v>1</v>
      </c>
      <c r="E20" s="8"/>
      <c r="F20" s="9"/>
      <c r="G20" s="19">
        <v>1</v>
      </c>
      <c r="H20" s="8">
        <v>1</v>
      </c>
      <c r="I20" s="10">
        <v>0.08</v>
      </c>
      <c r="J20" s="8">
        <v>1</v>
      </c>
      <c r="K20" s="9"/>
      <c r="L20" s="9"/>
      <c r="M20" s="8">
        <v>1</v>
      </c>
      <c r="N20" s="8"/>
      <c r="O20" s="9"/>
      <c r="P20" s="9"/>
      <c r="Q20" s="9"/>
      <c r="R20" s="9"/>
      <c r="S20" s="9"/>
      <c r="T20" s="9"/>
      <c r="U20" s="9"/>
      <c r="V20" s="9"/>
      <c r="W20" s="9"/>
      <c r="X20" s="10">
        <v>0.05</v>
      </c>
      <c r="Y20" s="10">
        <v>0.05</v>
      </c>
      <c r="AE20" s="11">
        <f t="shared" si="2"/>
        <v>9.1062986999999995E-3</v>
      </c>
    </row>
    <row r="21" spans="1:31" x14ac:dyDescent="0.35">
      <c r="A21" s="20" t="s">
        <v>555</v>
      </c>
      <c r="B21" s="8">
        <v>1</v>
      </c>
      <c r="C21" s="8"/>
      <c r="D21" s="8">
        <v>1</v>
      </c>
      <c r="E21" s="8"/>
      <c r="F21" s="19">
        <v>1</v>
      </c>
      <c r="G21" s="19"/>
      <c r="H21" s="8"/>
      <c r="I21" s="10"/>
      <c r="J21" s="8"/>
      <c r="K21" s="9"/>
      <c r="L21" s="9"/>
      <c r="M21" s="8"/>
      <c r="N21" s="8"/>
      <c r="O21" s="9"/>
      <c r="P21" s="9"/>
      <c r="Q21" s="9"/>
      <c r="R21" s="9"/>
      <c r="S21" s="9"/>
      <c r="T21" s="9"/>
      <c r="U21" s="9"/>
      <c r="V21" s="9"/>
      <c r="W21" s="9"/>
      <c r="X21" s="10"/>
      <c r="Y21" s="10"/>
      <c r="AE21" s="11">
        <f t="shared" si="2"/>
        <v>2.4215E-3</v>
      </c>
    </row>
    <row r="22" spans="1:31" x14ac:dyDescent="0.35">
      <c r="A22" s="20" t="s">
        <v>556</v>
      </c>
      <c r="B22" s="8">
        <v>1</v>
      </c>
      <c r="C22" s="8"/>
      <c r="D22" s="8">
        <v>1</v>
      </c>
      <c r="E22" s="8"/>
      <c r="F22" s="9"/>
      <c r="G22" s="19">
        <v>1</v>
      </c>
      <c r="H22" s="8"/>
      <c r="I22" s="10"/>
      <c r="J22" s="8"/>
      <c r="K22" s="9"/>
      <c r="L22" s="9"/>
      <c r="M22" s="8"/>
      <c r="N22" s="8"/>
      <c r="O22" s="9"/>
      <c r="P22" s="9"/>
      <c r="Q22" s="9"/>
      <c r="R22" s="9"/>
      <c r="S22" s="9"/>
      <c r="T22" s="9"/>
      <c r="U22" s="9"/>
      <c r="V22" s="9"/>
      <c r="W22" s="9"/>
      <c r="X22" s="10"/>
      <c r="Y22" s="10"/>
      <c r="AE22" s="11">
        <f t="shared" si="2"/>
        <v>2.1059800000000004E-3</v>
      </c>
    </row>
    <row r="23" spans="1:31" x14ac:dyDescent="0.35">
      <c r="A23" s="20" t="s">
        <v>2</v>
      </c>
      <c r="B23" s="8"/>
      <c r="C23" s="8">
        <v>1</v>
      </c>
      <c r="D23" s="8"/>
      <c r="E23" s="8"/>
      <c r="F23" s="9"/>
      <c r="G23" s="19"/>
      <c r="H23" s="8"/>
      <c r="I23" s="10"/>
      <c r="J23" s="8"/>
      <c r="K23" s="9"/>
      <c r="L23" s="9"/>
      <c r="M23" s="8"/>
      <c r="N23" s="8"/>
      <c r="O23" s="9"/>
      <c r="P23" s="9"/>
      <c r="Q23" s="9"/>
      <c r="R23" s="9"/>
      <c r="S23" s="9"/>
      <c r="T23" s="9"/>
      <c r="U23" s="9"/>
      <c r="V23" s="9"/>
      <c r="W23" s="9"/>
      <c r="X23" s="10"/>
      <c r="Y23" s="10"/>
      <c r="AE23" s="11">
        <f t="shared" si="2"/>
        <v>4.5413999999999996E-4</v>
      </c>
    </row>
    <row r="24" spans="1:31" x14ac:dyDescent="0.35">
      <c r="A24" s="20" t="s">
        <v>557</v>
      </c>
      <c r="B24" s="8">
        <v>1</v>
      </c>
      <c r="AE24" s="11">
        <f t="shared" si="2"/>
        <v>8.0040000000000005E-4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zoomScaleNormal="100" workbookViewId="0">
      <pane ySplit="1" topLeftCell="A2" activePane="bottomLeft" state="frozen"/>
      <selection pane="bottomLeft" activeCell="D2" sqref="D2:D31"/>
    </sheetView>
  </sheetViews>
  <sheetFormatPr defaultColWidth="8.6328125" defaultRowHeight="14.5" x14ac:dyDescent="0.35"/>
  <cols>
    <col min="1" max="1" width="32" customWidth="1"/>
    <col min="2" max="2" width="14" customWidth="1"/>
    <col min="3" max="3" width="27.7265625" bestFit="1" customWidth="1"/>
    <col min="4" max="4" width="21.6328125" bestFit="1" customWidth="1"/>
    <col min="7" max="9" width="9.08984375" bestFit="1" customWidth="1"/>
  </cols>
  <sheetData>
    <row r="1" spans="1:9" x14ac:dyDescent="0.35">
      <c r="A1" s="1" t="s">
        <v>35</v>
      </c>
      <c r="B1" s="1" t="s">
        <v>36</v>
      </c>
      <c r="C1" s="1" t="s">
        <v>37</v>
      </c>
      <c r="D1" s="17" t="s">
        <v>42</v>
      </c>
      <c r="E1" s="17" t="s">
        <v>430</v>
      </c>
      <c r="F1" s="17" t="s">
        <v>431</v>
      </c>
    </row>
    <row r="2" spans="1:9" x14ac:dyDescent="0.35">
      <c r="A2" s="13" t="s">
        <v>1</v>
      </c>
      <c r="B2" s="14" t="s">
        <v>38</v>
      </c>
      <c r="C2" s="15">
        <v>0.27600000000000002</v>
      </c>
      <c r="D2" s="18">
        <f>C2*0.0029</f>
        <v>8.0040000000000005E-4</v>
      </c>
      <c r="E2">
        <v>90</v>
      </c>
      <c r="F2" t="s">
        <v>432</v>
      </c>
      <c r="G2" s="22">
        <f>1/D2</f>
        <v>1249.375312343828</v>
      </c>
      <c r="H2" s="22"/>
      <c r="I2" s="22"/>
    </row>
    <row r="3" spans="1:9" x14ac:dyDescent="0.35">
      <c r="A3" s="13" t="s">
        <v>2</v>
      </c>
      <c r="B3" s="14" t="s">
        <v>38</v>
      </c>
      <c r="C3" s="15">
        <v>0.15659999999999999</v>
      </c>
      <c r="D3" s="18">
        <f t="shared" ref="D3:D31" si="0">C3*0.0029</f>
        <v>4.5413999999999996E-4</v>
      </c>
      <c r="E3">
        <v>180</v>
      </c>
      <c r="F3" t="s">
        <v>433</v>
      </c>
      <c r="G3" s="22">
        <f t="shared" ref="G3:G31" si="1">1/D3</f>
        <v>2201.964152023605</v>
      </c>
      <c r="H3" s="22"/>
      <c r="I3" s="22"/>
    </row>
    <row r="4" spans="1:9" x14ac:dyDescent="0.35">
      <c r="A4" s="13" t="s">
        <v>3</v>
      </c>
      <c r="B4" s="14" t="s">
        <v>38</v>
      </c>
      <c r="C4" s="15">
        <v>9.8500000000000004E-2</v>
      </c>
      <c r="D4" s="18">
        <f t="shared" si="0"/>
        <v>2.8564999999999998E-4</v>
      </c>
      <c r="E4">
        <v>60</v>
      </c>
      <c r="F4" t="s">
        <v>433</v>
      </c>
      <c r="G4" s="22">
        <f t="shared" si="1"/>
        <v>3500.7876772273767</v>
      </c>
      <c r="H4" s="22"/>
      <c r="I4" s="22"/>
    </row>
    <row r="5" spans="1:9" x14ac:dyDescent="0.35">
      <c r="A5" s="13" t="s">
        <v>4</v>
      </c>
      <c r="B5" s="14" t="s">
        <v>38</v>
      </c>
      <c r="C5" s="15">
        <v>0.46910000000000002</v>
      </c>
      <c r="D5" s="18">
        <f t="shared" si="0"/>
        <v>1.3603899999999999E-3</v>
      </c>
      <c r="E5">
        <v>30</v>
      </c>
      <c r="F5" t="s">
        <v>433</v>
      </c>
      <c r="G5" s="22">
        <f t="shared" si="1"/>
        <v>735.0833216945141</v>
      </c>
      <c r="H5" s="22"/>
      <c r="I5" s="22"/>
    </row>
    <row r="6" spans="1:9" x14ac:dyDescent="0.35">
      <c r="A6" s="13" t="s">
        <v>5</v>
      </c>
      <c r="B6" s="14" t="s">
        <v>38</v>
      </c>
      <c r="C6" s="15">
        <v>0.46050000000000002</v>
      </c>
      <c r="D6" s="18">
        <f t="shared" si="0"/>
        <v>1.33545E-3</v>
      </c>
      <c r="E6">
        <v>0</v>
      </c>
      <c r="F6" t="s">
        <v>433</v>
      </c>
      <c r="G6" s="22">
        <f t="shared" si="1"/>
        <v>748.81126212138236</v>
      </c>
      <c r="H6" s="22"/>
      <c r="I6" s="22"/>
    </row>
    <row r="7" spans="1:9" x14ac:dyDescent="0.35">
      <c r="A7" s="13" t="s">
        <v>6</v>
      </c>
      <c r="B7" s="14" t="s">
        <v>38</v>
      </c>
      <c r="C7" s="15">
        <v>0.35170000000000001</v>
      </c>
      <c r="D7" s="18">
        <f t="shared" si="0"/>
        <v>1.0199300000000001E-3</v>
      </c>
      <c r="E7">
        <v>30</v>
      </c>
      <c r="F7" t="s">
        <v>433</v>
      </c>
      <c r="G7" s="22">
        <f t="shared" si="1"/>
        <v>980.45944329512804</v>
      </c>
    </row>
    <row r="8" spans="1:9" x14ac:dyDescent="0.35">
      <c r="A8" s="13" t="s">
        <v>7</v>
      </c>
      <c r="B8" s="16" t="s">
        <v>39</v>
      </c>
      <c r="C8" s="15">
        <v>0.79359999999999997</v>
      </c>
      <c r="D8" s="18">
        <f t="shared" si="0"/>
        <v>2.3014399999999996E-3</v>
      </c>
      <c r="E8">
        <v>50</v>
      </c>
      <c r="F8" t="s">
        <v>432</v>
      </c>
      <c r="G8" s="22">
        <f t="shared" si="1"/>
        <v>434.51056729699673</v>
      </c>
    </row>
    <row r="9" spans="1:9" x14ac:dyDescent="0.35">
      <c r="A9" s="13" t="s">
        <v>8</v>
      </c>
      <c r="B9" s="16" t="s">
        <v>39</v>
      </c>
      <c r="C9" s="15">
        <v>0.42909999999999998</v>
      </c>
      <c r="D9" s="18">
        <f t="shared" si="0"/>
        <v>1.2443899999999999E-3</v>
      </c>
      <c r="E9">
        <v>50</v>
      </c>
      <c r="F9" t="s">
        <v>432</v>
      </c>
      <c r="G9" s="22">
        <f t="shared" si="1"/>
        <v>803.6065863595818</v>
      </c>
    </row>
    <row r="10" spans="1:9" x14ac:dyDescent="0.35">
      <c r="A10" s="13" t="s">
        <v>9</v>
      </c>
      <c r="B10" s="16" t="s">
        <v>39</v>
      </c>
      <c r="C10" s="15">
        <v>0.77070000000000005</v>
      </c>
      <c r="D10" s="18">
        <f t="shared" si="0"/>
        <v>2.2350299999999998E-3</v>
      </c>
      <c r="E10">
        <v>30</v>
      </c>
      <c r="F10" t="s">
        <v>432</v>
      </c>
      <c r="G10" s="22">
        <f t="shared" si="1"/>
        <v>447.42128741001244</v>
      </c>
    </row>
    <row r="11" spans="1:9" x14ac:dyDescent="0.35">
      <c r="A11" s="13" t="s">
        <v>10</v>
      </c>
      <c r="B11" s="16" t="s">
        <v>39</v>
      </c>
      <c r="C11" s="15">
        <v>0.82550000000000001</v>
      </c>
      <c r="D11" s="18">
        <f t="shared" si="0"/>
        <v>2.3939499999999997E-3</v>
      </c>
      <c r="E11">
        <v>30</v>
      </c>
      <c r="F11" t="s">
        <v>432</v>
      </c>
      <c r="G11" s="22">
        <f t="shared" si="1"/>
        <v>417.71966833058337</v>
      </c>
    </row>
    <row r="12" spans="1:9" x14ac:dyDescent="0.35">
      <c r="A12" s="13" t="s">
        <v>11</v>
      </c>
      <c r="B12" s="16" t="s">
        <v>39</v>
      </c>
      <c r="C12" s="15">
        <v>1</v>
      </c>
      <c r="D12" s="18">
        <f t="shared" si="0"/>
        <v>2.8999999999999998E-3</v>
      </c>
      <c r="E12">
        <v>0</v>
      </c>
      <c r="G12" s="22">
        <f t="shared" si="1"/>
        <v>344.82758620689657</v>
      </c>
    </row>
    <row r="13" spans="1:9" x14ac:dyDescent="0.35">
      <c r="A13" s="13" t="s">
        <v>12</v>
      </c>
      <c r="B13" s="16" t="s">
        <v>39</v>
      </c>
      <c r="C13" s="15">
        <v>2.7197</v>
      </c>
      <c r="D13" s="18">
        <f t="shared" si="0"/>
        <v>7.8871299999999991E-3</v>
      </c>
      <c r="E13">
        <v>0</v>
      </c>
      <c r="G13" s="22">
        <f t="shared" si="1"/>
        <v>126.78883193252807</v>
      </c>
    </row>
    <row r="14" spans="1:9" x14ac:dyDescent="0.35">
      <c r="A14" s="13" t="s">
        <v>13</v>
      </c>
      <c r="B14" s="16" t="s">
        <v>39</v>
      </c>
      <c r="C14" s="15">
        <v>0.57269999999999999</v>
      </c>
      <c r="D14" s="18">
        <f t="shared" si="0"/>
        <v>1.6608299999999999E-3</v>
      </c>
      <c r="E14">
        <v>30</v>
      </c>
      <c r="F14" t="s">
        <v>432</v>
      </c>
      <c r="G14" s="22">
        <f t="shared" si="1"/>
        <v>602.10858426208586</v>
      </c>
    </row>
    <row r="15" spans="1:9" x14ac:dyDescent="0.35">
      <c r="A15" s="13" t="s">
        <v>14</v>
      </c>
      <c r="B15" s="16" t="s">
        <v>39</v>
      </c>
      <c r="C15" s="15">
        <v>0.41839999999999999</v>
      </c>
      <c r="D15" s="18">
        <f t="shared" si="0"/>
        <v>1.2133599999999999E-3</v>
      </c>
      <c r="E15">
        <v>50</v>
      </c>
      <c r="F15" t="s">
        <v>432</v>
      </c>
      <c r="G15" s="22">
        <f t="shared" si="1"/>
        <v>824.15771081954244</v>
      </c>
    </row>
    <row r="16" spans="1:9" x14ac:dyDescent="0.35">
      <c r="A16" s="13" t="s">
        <v>15</v>
      </c>
      <c r="B16" s="16" t="s">
        <v>39</v>
      </c>
      <c r="C16" s="15">
        <v>0.64170000000000005</v>
      </c>
      <c r="D16" s="18">
        <f t="shared" si="0"/>
        <v>1.86093E-3</v>
      </c>
      <c r="E16">
        <v>30</v>
      </c>
      <c r="F16" t="s">
        <v>432</v>
      </c>
      <c r="G16" s="22">
        <f t="shared" si="1"/>
        <v>537.36572573928095</v>
      </c>
    </row>
    <row r="17" spans="1:7" x14ac:dyDescent="0.35">
      <c r="A17" s="13" t="s">
        <v>16</v>
      </c>
      <c r="B17" s="16" t="s">
        <v>39</v>
      </c>
      <c r="C17" s="15">
        <v>0.94259999999999999</v>
      </c>
      <c r="D17" s="18">
        <f t="shared" si="0"/>
        <v>2.7335399999999996E-3</v>
      </c>
      <c r="E17">
        <v>30</v>
      </c>
      <c r="F17" t="s">
        <v>432</v>
      </c>
      <c r="G17" s="22">
        <f t="shared" si="1"/>
        <v>365.825998522063</v>
      </c>
    </row>
    <row r="18" spans="1:7" x14ac:dyDescent="0.35">
      <c r="A18" s="13" t="s">
        <v>17</v>
      </c>
      <c r="B18" s="16" t="s">
        <v>39</v>
      </c>
      <c r="C18" s="15">
        <v>0.82210000000000005</v>
      </c>
      <c r="D18" s="18">
        <f t="shared" si="0"/>
        <v>2.3840900000000002E-3</v>
      </c>
      <c r="E18">
        <v>0</v>
      </c>
      <c r="G18" s="22">
        <f t="shared" si="1"/>
        <v>419.44725241077305</v>
      </c>
    </row>
    <row r="19" spans="1:7" x14ac:dyDescent="0.35">
      <c r="A19" s="13" t="s">
        <v>18</v>
      </c>
      <c r="B19" s="16" t="s">
        <v>39</v>
      </c>
      <c r="C19" s="15">
        <v>0.1263</v>
      </c>
      <c r="D19" s="18">
        <f t="shared" si="0"/>
        <v>3.6626999999999997E-4</v>
      </c>
      <c r="E19">
        <v>50</v>
      </c>
      <c r="F19" t="s">
        <v>432</v>
      </c>
      <c r="G19" s="22">
        <f t="shared" si="1"/>
        <v>2730.2263357632351</v>
      </c>
    </row>
    <row r="20" spans="1:7" x14ac:dyDescent="0.35">
      <c r="A20" s="13" t="s">
        <v>19</v>
      </c>
      <c r="B20" s="16" t="s">
        <v>39</v>
      </c>
      <c r="C20" s="15">
        <v>0.19350000000000001</v>
      </c>
      <c r="D20" s="18">
        <f t="shared" si="0"/>
        <v>5.6114999999999995E-4</v>
      </c>
      <c r="E20">
        <v>30</v>
      </c>
      <c r="F20" t="s">
        <v>432</v>
      </c>
      <c r="G20" s="22">
        <f t="shared" si="1"/>
        <v>1782.054709079569</v>
      </c>
    </row>
    <row r="21" spans="1:7" x14ac:dyDescent="0.35">
      <c r="A21" s="13" t="s">
        <v>20</v>
      </c>
      <c r="B21" s="16" t="s">
        <v>39</v>
      </c>
      <c r="C21" s="15">
        <v>0.2</v>
      </c>
      <c r="D21" s="18">
        <f t="shared" si="0"/>
        <v>5.8E-4</v>
      </c>
      <c r="E21">
        <v>0</v>
      </c>
      <c r="G21" s="22">
        <f t="shared" si="1"/>
        <v>1724.1379310344828</v>
      </c>
    </row>
    <row r="22" spans="1:7" x14ac:dyDescent="0.35">
      <c r="A22" s="13" t="s">
        <v>21</v>
      </c>
      <c r="B22" s="16" t="s">
        <v>39</v>
      </c>
      <c r="C22" s="15">
        <v>1</v>
      </c>
      <c r="D22" s="18">
        <f t="shared" si="0"/>
        <v>2.8999999999999998E-3</v>
      </c>
      <c r="E22">
        <v>0</v>
      </c>
      <c r="G22" s="22">
        <f t="shared" si="1"/>
        <v>344.82758620689657</v>
      </c>
    </row>
    <row r="23" spans="1:7" x14ac:dyDescent="0.35">
      <c r="A23" s="13" t="s">
        <v>22</v>
      </c>
      <c r="B23" s="16" t="s">
        <v>39</v>
      </c>
      <c r="C23" s="15">
        <v>0.82550000000000001</v>
      </c>
      <c r="D23" s="18">
        <f t="shared" si="0"/>
        <v>2.3939499999999997E-3</v>
      </c>
      <c r="E23">
        <v>30</v>
      </c>
      <c r="F23" t="s">
        <v>432</v>
      </c>
      <c r="G23" s="22">
        <f t="shared" si="1"/>
        <v>417.71966833058337</v>
      </c>
    </row>
    <row r="24" spans="1:7" x14ac:dyDescent="0.35">
      <c r="A24" s="13" t="s">
        <v>23</v>
      </c>
      <c r="B24" s="16" t="s">
        <v>39</v>
      </c>
      <c r="C24" s="15">
        <v>1</v>
      </c>
      <c r="D24" s="18">
        <f t="shared" si="0"/>
        <v>2.8999999999999998E-3</v>
      </c>
      <c r="E24">
        <v>0</v>
      </c>
      <c r="G24" s="22">
        <f t="shared" si="1"/>
        <v>344.82758620689657</v>
      </c>
    </row>
    <row r="25" spans="1:7" x14ac:dyDescent="0.35">
      <c r="A25" s="13" t="s">
        <v>40</v>
      </c>
      <c r="B25" s="16" t="s">
        <v>39</v>
      </c>
      <c r="C25" s="15">
        <v>1.1531</v>
      </c>
      <c r="D25" s="18">
        <f t="shared" si="0"/>
        <v>3.3439899999999998E-3</v>
      </c>
      <c r="E25">
        <v>30</v>
      </c>
      <c r="F25" t="s">
        <v>432</v>
      </c>
      <c r="G25" s="22">
        <f t="shared" si="1"/>
        <v>299.04395647116172</v>
      </c>
    </row>
    <row r="26" spans="1:7" x14ac:dyDescent="0.35">
      <c r="A26" s="13" t="s">
        <v>41</v>
      </c>
      <c r="B26" s="16" t="s">
        <v>39</v>
      </c>
      <c r="C26" s="15">
        <v>1.1609</v>
      </c>
      <c r="D26" s="18">
        <f t="shared" si="0"/>
        <v>3.3666099999999999E-3</v>
      </c>
      <c r="E26">
        <v>0</v>
      </c>
      <c r="G26" s="22">
        <f t="shared" si="1"/>
        <v>297.03470256430057</v>
      </c>
    </row>
    <row r="27" spans="1:7" x14ac:dyDescent="0.35">
      <c r="A27" s="13" t="s">
        <v>43</v>
      </c>
      <c r="B27" s="16" t="s">
        <v>39</v>
      </c>
      <c r="C27" s="15">
        <v>4.9676374210000001</v>
      </c>
      <c r="D27" s="18">
        <f t="shared" si="0"/>
        <v>1.4406148520899999E-2</v>
      </c>
      <c r="E27">
        <v>50</v>
      </c>
      <c r="F27" t="s">
        <v>432</v>
      </c>
      <c r="G27" s="22">
        <f t="shared" si="1"/>
        <v>69.4148056678182</v>
      </c>
    </row>
    <row r="28" spans="1:7" x14ac:dyDescent="0.35">
      <c r="A28" s="13" t="s">
        <v>12</v>
      </c>
      <c r="B28" s="16" t="s">
        <v>39</v>
      </c>
      <c r="C28" s="15">
        <v>2.7197</v>
      </c>
      <c r="D28" s="18">
        <f t="shared" si="0"/>
        <v>7.8871299999999991E-3</v>
      </c>
      <c r="E28">
        <v>0</v>
      </c>
      <c r="G28" s="22">
        <f t="shared" si="1"/>
        <v>126.78883193252807</v>
      </c>
    </row>
    <row r="29" spans="1:7" x14ac:dyDescent="0.35">
      <c r="A29" s="13" t="s">
        <v>44</v>
      </c>
      <c r="B29" s="16" t="s">
        <v>39</v>
      </c>
      <c r="C29" s="15">
        <v>8.4439893779999995</v>
      </c>
      <c r="D29" s="18">
        <f t="shared" si="0"/>
        <v>2.4487569196199998E-2</v>
      </c>
      <c r="E29">
        <v>30</v>
      </c>
      <c r="F29" t="s">
        <v>433</v>
      </c>
      <c r="G29" s="22">
        <f t="shared" si="1"/>
        <v>40.837046420891006</v>
      </c>
    </row>
    <row r="30" spans="1:7" x14ac:dyDescent="0.35">
      <c r="A30" s="13" t="s">
        <v>45</v>
      </c>
      <c r="B30" s="16" t="s">
        <v>39</v>
      </c>
      <c r="C30" s="15">
        <v>1.7730060169999999</v>
      </c>
      <c r="D30" s="18">
        <f t="shared" si="0"/>
        <v>5.1417174492999996E-3</v>
      </c>
      <c r="E30">
        <v>50</v>
      </c>
      <c r="F30" t="s">
        <v>433</v>
      </c>
      <c r="G30" s="22">
        <f t="shared" si="1"/>
        <v>194.48754426133263</v>
      </c>
    </row>
    <row r="31" spans="1:7" x14ac:dyDescent="0.35">
      <c r="A31" s="13" t="s">
        <v>46</v>
      </c>
      <c r="B31" s="16" t="s">
        <v>39</v>
      </c>
      <c r="C31" s="15">
        <v>2.818166186</v>
      </c>
      <c r="D31" s="18">
        <f t="shared" si="0"/>
        <v>8.1726819393999998E-3</v>
      </c>
      <c r="E31">
        <v>180</v>
      </c>
      <c r="F31" t="s">
        <v>433</v>
      </c>
      <c r="G31" s="22">
        <f t="shared" si="1"/>
        <v>122.3588544635588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XD List</vt:lpstr>
      <vt:lpstr>Layout to Station Type</vt:lpstr>
      <vt:lpstr>Volumetric %</vt:lpstr>
      <vt:lpstr>Layout Productivity</vt:lpstr>
      <vt:lpstr>Activity Productivity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Kaustubh Suresh</cp:lastModifiedBy>
  <cp:revision>0</cp:revision>
  <cp:lastPrinted>2026-03-24T12:57:47Z</cp:lastPrinted>
  <dcterms:created xsi:type="dcterms:W3CDTF">2026-03-24T11:20:20Z</dcterms:created>
  <dcterms:modified xsi:type="dcterms:W3CDTF">2026-03-26T12:54:49Z</dcterms:modified>
  <dc:language>en-US</dc:language>
</cp:coreProperties>
</file>